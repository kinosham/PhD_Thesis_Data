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Kinosha\Dropbox\Kinosha Ferreira-Moodley\Chapters\Chapter 3\Writeup\"/>
    </mc:Choice>
  </mc:AlternateContent>
  <xr:revisionPtr revIDLastSave="0" documentId="13_ncr:1_{4304CA6C-E4A4-4554-BF0F-2604F5EA296C}" xr6:coauthVersionLast="47" xr6:coauthVersionMax="47" xr10:uidLastSave="{00000000-0000-0000-0000-000000000000}"/>
  <bookViews>
    <workbookView xWindow="-120" yWindow="-120" windowWidth="20730" windowHeight="11160" firstSheet="4" activeTab="6" xr2:uid="{65E19C24-D240-4903-9BE8-2AE8F02B0F3D}"/>
  </bookViews>
  <sheets>
    <sheet name="S1 - MetaData" sheetId="1" r:id="rId1"/>
    <sheet name="S2- Permanova (location type)" sheetId="6" r:id="rId2"/>
    <sheet name="S3-Degree of differences (Type)" sheetId="4" r:id="rId3"/>
    <sheet name="S4 - Permanova (Type, Month)  " sheetId="5" r:id="rId4"/>
    <sheet name="S5-Permanova (RDA-plot)" sheetId="7" r:id="rId5"/>
    <sheet name="S6 - Beta‐dispersio" sheetId="8" r:id="rId6"/>
    <sheet name="S7-TCC&amp;ICC" sheetId="10" r:id="rId7"/>
  </sheets>
  <definedNames>
    <definedName name="_xlnm._FilterDatabase" localSheetId="0" hidden="1">'S1 - MetaData'!$A$1:$U$1</definedName>
    <definedName name="_xlnm._FilterDatabase" localSheetId="6" hidden="1">'S7-TCC&amp;ICC'!$A$1:$I$1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 r="U8" i="7"/>
  <c r="O8" i="7"/>
  <c r="N8" i="7"/>
  <c r="X14" i="8"/>
  <c r="X8" i="8"/>
  <c r="Q14" i="8"/>
  <c r="Q8" i="8"/>
  <c r="N50" i="8"/>
  <c r="N44" i="8"/>
  <c r="U60" i="7"/>
  <c r="T60" i="7"/>
  <c r="O60" i="7"/>
  <c r="N60" i="7"/>
  <c r="U34" i="7"/>
  <c r="T34" i="7"/>
  <c r="O34" i="7"/>
  <c r="N34" i="7"/>
  <c r="C50" i="8"/>
  <c r="C44" i="8"/>
  <c r="J14" i="8"/>
  <c r="C14" i="8"/>
  <c r="I60" i="7"/>
  <c r="H60" i="7"/>
  <c r="I34" i="7"/>
  <c r="H34" i="7"/>
  <c r="I8" i="7"/>
  <c r="J8" i="8"/>
  <c r="C8" i="8"/>
  <c r="C60" i="7"/>
  <c r="B60" i="7"/>
  <c r="C34" i="7"/>
  <c r="B34" i="7"/>
  <c r="C8" i="7"/>
  <c r="B8" i="7"/>
  <c r="A3" i="1"/>
  <c r="A4" i="1"/>
  <c r="A5" i="1"/>
  <c r="A6" i="1"/>
  <c r="R6" i="1" s="1"/>
  <c r="A7" i="1"/>
  <c r="A9" i="1"/>
  <c r="A10" i="1"/>
  <c r="T10" i="1" s="1"/>
  <c r="A11" i="1"/>
  <c r="A12" i="1"/>
  <c r="A13" i="1"/>
  <c r="A14" i="1"/>
  <c r="R14" i="1" s="1"/>
  <c r="A15" i="1"/>
  <c r="A16" i="1"/>
  <c r="T16" i="1" s="1"/>
  <c r="A17" i="1"/>
  <c r="A18" i="1"/>
  <c r="R18" i="1" s="1"/>
  <c r="A19" i="1"/>
  <c r="A20" i="1"/>
  <c r="T20" i="1" s="1"/>
  <c r="A21" i="1"/>
  <c r="T21" i="1" s="1"/>
  <c r="A22" i="1"/>
  <c r="A23" i="1"/>
  <c r="T23" i="1" s="1"/>
  <c r="A24" i="1"/>
  <c r="T24" i="1" s="1"/>
  <c r="A25" i="1"/>
  <c r="A26" i="1"/>
  <c r="A27" i="1"/>
  <c r="T27" i="1" s="1"/>
  <c r="A29" i="1"/>
  <c r="T29" i="1" s="1"/>
  <c r="A30" i="1"/>
  <c r="A28" i="1"/>
  <c r="A31" i="1"/>
  <c r="A32" i="1"/>
  <c r="T32" i="1" s="1"/>
  <c r="A33" i="1"/>
  <c r="T33" i="1" s="1"/>
  <c r="A34" i="1"/>
  <c r="T34" i="1" s="1"/>
  <c r="A35" i="1"/>
  <c r="A36" i="1"/>
  <c r="A37" i="1"/>
  <c r="T37" i="1" s="1"/>
  <c r="A38" i="1"/>
  <c r="T38" i="1" s="1"/>
  <c r="A39" i="1"/>
  <c r="A40" i="1"/>
  <c r="A41" i="1"/>
  <c r="T41" i="1" s="1"/>
  <c r="A42" i="1"/>
  <c r="A43" i="1"/>
  <c r="A44" i="1"/>
  <c r="T44" i="1" s="1"/>
  <c r="A45" i="1"/>
  <c r="T45" i="1" s="1"/>
  <c r="A46" i="1"/>
  <c r="A47" i="1"/>
  <c r="A48" i="1"/>
  <c r="A49" i="1"/>
  <c r="A50" i="1"/>
  <c r="T50" i="1" s="1"/>
  <c r="A51" i="1"/>
  <c r="A52" i="1"/>
  <c r="A53" i="1"/>
  <c r="A54" i="1"/>
  <c r="T54" i="1" s="1"/>
  <c r="A55" i="1"/>
  <c r="A56" i="1"/>
  <c r="A57" i="1"/>
  <c r="A58" i="1"/>
  <c r="T58" i="1" s="1"/>
  <c r="A59" i="1"/>
  <c r="A60" i="1"/>
  <c r="A61" i="1"/>
  <c r="A62" i="1"/>
  <c r="T62" i="1" s="1"/>
  <c r="A63" i="1"/>
  <c r="A64" i="1"/>
  <c r="A65" i="1"/>
  <c r="A66" i="1"/>
  <c r="T66" i="1" s="1"/>
  <c r="A67" i="1"/>
  <c r="A68" i="1"/>
  <c r="A69" i="1"/>
  <c r="T69" i="1" s="1"/>
  <c r="A70" i="1"/>
  <c r="T70" i="1" s="1"/>
  <c r="A71" i="1"/>
  <c r="A72" i="1"/>
  <c r="A73" i="1"/>
  <c r="T73" i="1" s="1"/>
  <c r="A74" i="1"/>
  <c r="T74" i="1" s="1"/>
  <c r="A75" i="1"/>
  <c r="T75" i="1" s="1"/>
  <c r="A76" i="1"/>
  <c r="A77" i="1"/>
  <c r="T77" i="1" s="1"/>
  <c r="A78" i="1"/>
  <c r="T78" i="1" s="1"/>
  <c r="A79" i="1"/>
  <c r="A80" i="1"/>
  <c r="T80" i="1" s="1"/>
  <c r="A81" i="1"/>
  <c r="T81" i="1" s="1"/>
  <c r="A82" i="1"/>
  <c r="A83" i="1"/>
  <c r="A84" i="1"/>
  <c r="T84" i="1" s="1"/>
  <c r="A85" i="1"/>
  <c r="T85" i="1" s="1"/>
  <c r="A86" i="1"/>
  <c r="T86" i="1" s="1"/>
  <c r="A87" i="1"/>
  <c r="A88" i="1"/>
  <c r="A89" i="1"/>
  <c r="T89" i="1" s="1"/>
  <c r="A90" i="1"/>
  <c r="A91" i="1"/>
  <c r="A92" i="1"/>
  <c r="T92" i="1" s="1"/>
  <c r="A93" i="1"/>
  <c r="T93" i="1" s="1"/>
  <c r="A94" i="1"/>
  <c r="T94" i="1" s="1"/>
  <c r="A95" i="1"/>
  <c r="A96" i="1"/>
  <c r="A97" i="1"/>
  <c r="A98" i="1"/>
  <c r="T98" i="1" s="1"/>
  <c r="A99" i="1"/>
  <c r="A100" i="1"/>
  <c r="T100" i="1" s="1"/>
  <c r="A101" i="1"/>
  <c r="A102" i="1"/>
  <c r="T102" i="1" s="1"/>
  <c r="A103" i="1"/>
  <c r="A104" i="1"/>
  <c r="A105" i="1"/>
  <c r="T105" i="1" s="1"/>
  <c r="A106" i="1"/>
  <c r="A107" i="1"/>
  <c r="A108" i="1"/>
  <c r="A109" i="1"/>
  <c r="A110" i="1"/>
  <c r="T110" i="1" s="1"/>
  <c r="A111" i="1"/>
  <c r="R111" i="1" s="1"/>
  <c r="A112" i="1"/>
  <c r="T112" i="1" s="1"/>
  <c r="A113" i="1"/>
  <c r="T113" i="1" s="1"/>
  <c r="A114" i="1"/>
  <c r="A115" i="1"/>
  <c r="A116" i="1"/>
  <c r="A117" i="1"/>
  <c r="T117" i="1" s="1"/>
  <c r="A118" i="1"/>
  <c r="T118" i="1" s="1"/>
  <c r="A119" i="1"/>
  <c r="A120" i="1"/>
  <c r="A121" i="1"/>
  <c r="A122" i="1"/>
  <c r="T122" i="1" s="1"/>
  <c r="A123" i="1"/>
  <c r="T123" i="1" s="1"/>
  <c r="A124" i="1"/>
  <c r="A125" i="1"/>
  <c r="T125" i="1" s="1"/>
  <c r="A126" i="1"/>
  <c r="T126" i="1" s="1"/>
  <c r="A127" i="1"/>
  <c r="A128" i="1"/>
  <c r="T128" i="1" s="1"/>
  <c r="A129" i="1"/>
  <c r="T129" i="1" s="1"/>
  <c r="A130" i="1"/>
  <c r="T130" i="1" s="1"/>
  <c r="A131" i="1"/>
  <c r="A132" i="1"/>
  <c r="A133" i="1"/>
  <c r="T133" i="1" s="1"/>
  <c r="A134" i="1"/>
  <c r="T134" i="1" s="1"/>
  <c r="A135" i="1"/>
  <c r="A136" i="1"/>
  <c r="A137" i="1"/>
  <c r="T137" i="1" s="1"/>
  <c r="A138" i="1"/>
  <c r="T138" i="1" s="1"/>
  <c r="A139" i="1"/>
  <c r="A140" i="1"/>
  <c r="T140" i="1" s="1"/>
  <c r="A141" i="1"/>
  <c r="T141" i="1" s="1"/>
  <c r="A142" i="1"/>
  <c r="T142" i="1" s="1"/>
  <c r="A143" i="1"/>
  <c r="A144" i="1"/>
  <c r="A145" i="1"/>
  <c r="T145" i="1" s="1"/>
  <c r="A146" i="1"/>
  <c r="T146" i="1" s="1"/>
  <c r="A147" i="1"/>
  <c r="A148" i="1"/>
  <c r="T148" i="1" s="1"/>
  <c r="A149" i="1"/>
  <c r="A150" i="1"/>
  <c r="T150" i="1" s="1"/>
  <c r="A151" i="1"/>
  <c r="A152" i="1"/>
  <c r="A153" i="1"/>
  <c r="T153" i="1" s="1"/>
  <c r="A154" i="1"/>
  <c r="A155" i="1"/>
  <c r="A156" i="1"/>
  <c r="T156" i="1" s="1"/>
  <c r="A157" i="1"/>
  <c r="A158" i="1"/>
  <c r="T158" i="1" s="1"/>
  <c r="A159" i="1"/>
  <c r="R159" i="1" s="1"/>
  <c r="A160" i="1"/>
  <c r="T160" i="1" s="1"/>
  <c r="A161" i="1"/>
  <c r="T161" i="1" s="1"/>
  <c r="A162" i="1"/>
  <c r="T162" i="1" s="1"/>
  <c r="A163" i="1"/>
  <c r="T163" i="1" s="1"/>
  <c r="A164" i="1"/>
  <c r="A165" i="1"/>
  <c r="T165" i="1" s="1"/>
  <c r="A166" i="1"/>
  <c r="T166" i="1" s="1"/>
  <c r="A167" i="1"/>
  <c r="A168" i="1"/>
  <c r="A169" i="1"/>
  <c r="A170" i="1"/>
  <c r="T170" i="1" s="1"/>
  <c r="A171" i="1"/>
  <c r="T171" i="1" s="1"/>
  <c r="A172" i="1"/>
  <c r="A173" i="1"/>
  <c r="T173" i="1" s="1"/>
  <c r="A174" i="1"/>
  <c r="T174" i="1" s="1"/>
  <c r="A175" i="1"/>
  <c r="A176" i="1"/>
  <c r="T176" i="1" s="1"/>
  <c r="A177" i="1"/>
  <c r="T177" i="1" s="1"/>
  <c r="A178" i="1"/>
  <c r="T178" i="1" s="1"/>
  <c r="A179" i="1"/>
  <c r="T179" i="1" s="1"/>
  <c r="A180" i="1"/>
  <c r="A181" i="1"/>
  <c r="T181" i="1" s="1"/>
  <c r="A182" i="1"/>
  <c r="T182" i="1" s="1"/>
  <c r="A183" i="1"/>
  <c r="A184" i="1"/>
  <c r="A185" i="1"/>
  <c r="T185" i="1" s="1"/>
  <c r="A186" i="1"/>
  <c r="T186" i="1" s="1"/>
  <c r="A187" i="1"/>
  <c r="A2" i="1"/>
  <c r="T2" i="1" s="1"/>
  <c r="T82" i="1"/>
  <c r="T114" i="1" l="1"/>
  <c r="T90" i="1"/>
  <c r="T42" i="1"/>
  <c r="R9" i="1"/>
  <c r="T101" i="1"/>
  <c r="R151" i="1"/>
  <c r="T169" i="1"/>
  <c r="T157" i="1"/>
  <c r="T149" i="1"/>
  <c r="T121" i="1"/>
  <c r="T109" i="1"/>
  <c r="T97" i="1"/>
  <c r="T61" i="1"/>
  <c r="T57" i="1"/>
  <c r="T26" i="1"/>
  <c r="T17" i="1"/>
  <c r="T13" i="1"/>
  <c r="T5" i="1"/>
  <c r="T184" i="1"/>
  <c r="T164" i="1"/>
  <c r="T136" i="1"/>
  <c r="T132" i="1"/>
  <c r="T124" i="1"/>
  <c r="T120" i="1"/>
  <c r="T116" i="1"/>
  <c r="T108" i="1"/>
  <c r="T104" i="1"/>
  <c r="T96" i="1"/>
  <c r="T87" i="1"/>
  <c r="T72" i="1"/>
  <c r="T68" i="1"/>
  <c r="T63" i="1"/>
  <c r="T60" i="1"/>
  <c r="T56" i="1"/>
  <c r="T51" i="1"/>
  <c r="T48" i="1"/>
  <c r="T39" i="1"/>
  <c r="T36" i="1"/>
  <c r="T31" i="1"/>
  <c r="T28" i="1"/>
  <c r="T12" i="1"/>
  <c r="T8" i="1"/>
  <c r="T4" i="1"/>
  <c r="R99" i="1"/>
  <c r="T46" i="1"/>
  <c r="T154" i="1"/>
  <c r="T106" i="1"/>
  <c r="T65" i="1"/>
  <c r="T53" i="1"/>
  <c r="T49" i="1"/>
  <c r="R103" i="1"/>
  <c r="T180" i="1"/>
  <c r="T172" i="1"/>
  <c r="T168" i="1"/>
  <c r="T152" i="1"/>
  <c r="T144" i="1"/>
  <c r="T187" i="1"/>
  <c r="R183" i="1"/>
  <c r="T175" i="1"/>
  <c r="T167" i="1"/>
  <c r="R155" i="1"/>
  <c r="T151" i="1"/>
  <c r="R147" i="1"/>
  <c r="R143" i="1"/>
  <c r="T139" i="1"/>
  <c r="T135" i="1"/>
  <c r="R131" i="1"/>
  <c r="T127" i="1"/>
  <c r="T119" i="1"/>
  <c r="T115" i="1"/>
  <c r="R107" i="1"/>
  <c r="T103" i="1"/>
  <c r="T99" i="1"/>
  <c r="R95" i="1"/>
  <c r="R91" i="1"/>
  <c r="T88" i="1"/>
  <c r="T83" i="1"/>
  <c r="R79" i="1"/>
  <c r="R76" i="1"/>
  <c r="R71" i="1"/>
  <c r="T67" i="1"/>
  <c r="R64" i="1"/>
  <c r="R59" i="1"/>
  <c r="R55" i="1"/>
  <c r="T52" i="1"/>
  <c r="T47" i="1"/>
  <c r="T43" i="1"/>
  <c r="R40" i="1"/>
  <c r="T35" i="1"/>
  <c r="T25" i="1"/>
  <c r="T30" i="1"/>
  <c r="T22" i="1"/>
  <c r="T19" i="1"/>
  <c r="T15" i="1"/>
  <c r="T11" i="1"/>
  <c r="T7" i="1"/>
  <c r="T3" i="1"/>
  <c r="R67" i="1"/>
  <c r="R88" i="1"/>
  <c r="T91" i="1"/>
  <c r="T79" i="1"/>
  <c r="T64" i="1"/>
  <c r="R52" i="1"/>
  <c r="T55" i="1"/>
  <c r="T40" i="1"/>
  <c r="T147" i="1"/>
  <c r="T95" i="1"/>
  <c r="R83" i="1"/>
  <c r="R35" i="1"/>
  <c r="T183" i="1"/>
  <c r="R187" i="1"/>
  <c r="T159" i="1"/>
  <c r="R171" i="1"/>
  <c r="R167" i="1"/>
  <c r="R175" i="1"/>
  <c r="R179" i="1"/>
  <c r="R163" i="1"/>
  <c r="T143" i="1"/>
  <c r="T155" i="1"/>
  <c r="R139" i="1"/>
  <c r="T131" i="1"/>
  <c r="R135" i="1"/>
  <c r="R127" i="1"/>
  <c r="T111" i="1"/>
  <c r="R123" i="1"/>
  <c r="T107" i="1"/>
  <c r="R119" i="1"/>
  <c r="R115" i="1"/>
  <c r="T76" i="1"/>
  <c r="T59" i="1"/>
  <c r="T71" i="1"/>
  <c r="R47" i="1"/>
  <c r="R25" i="1"/>
  <c r="R43" i="1"/>
  <c r="R30" i="1"/>
  <c r="R22" i="1"/>
  <c r="R186" i="1"/>
  <c r="R182" i="1"/>
  <c r="R177" i="1"/>
  <c r="R174" i="1"/>
  <c r="R170" i="1"/>
  <c r="R165" i="1"/>
  <c r="R162" i="1"/>
  <c r="R158" i="1"/>
  <c r="R153" i="1"/>
  <c r="R150" i="1"/>
  <c r="R146" i="1"/>
  <c r="R141" i="1"/>
  <c r="R138" i="1"/>
  <c r="R134" i="1"/>
  <c r="R129" i="1"/>
  <c r="R126" i="1"/>
  <c r="R122" i="1"/>
  <c r="R117" i="1"/>
  <c r="R114" i="1"/>
  <c r="R110" i="1"/>
  <c r="R105" i="1"/>
  <c r="R102" i="1"/>
  <c r="R98" i="1"/>
  <c r="R94" i="1"/>
  <c r="R90" i="1"/>
  <c r="R86" i="1"/>
  <c r="R82" i="1"/>
  <c r="R78" i="1"/>
  <c r="R74" i="1"/>
  <c r="R70" i="1"/>
  <c r="R66" i="1"/>
  <c r="R62" i="1"/>
  <c r="R58" i="1"/>
  <c r="R54" i="1"/>
  <c r="R50" i="1"/>
  <c r="R46" i="1"/>
  <c r="R42" i="1"/>
  <c r="R38" i="1"/>
  <c r="R34" i="1"/>
  <c r="R24" i="1"/>
  <c r="R21" i="1"/>
  <c r="R27" i="1"/>
  <c r="R185" i="1"/>
  <c r="R181" i="1"/>
  <c r="R178" i="1"/>
  <c r="R173" i="1"/>
  <c r="R169" i="1"/>
  <c r="R166" i="1"/>
  <c r="R161" i="1"/>
  <c r="R157" i="1"/>
  <c r="R154" i="1"/>
  <c r="R149" i="1"/>
  <c r="R145" i="1"/>
  <c r="R142" i="1"/>
  <c r="R137" i="1"/>
  <c r="R133" i="1"/>
  <c r="R130" i="1"/>
  <c r="R125" i="1"/>
  <c r="R121" i="1"/>
  <c r="R118" i="1"/>
  <c r="R113" i="1"/>
  <c r="R109" i="1"/>
  <c r="R106" i="1"/>
  <c r="R101" i="1"/>
  <c r="R97" i="1"/>
  <c r="R93" i="1"/>
  <c r="R89" i="1"/>
  <c r="R85" i="1"/>
  <c r="R81" i="1"/>
  <c r="R77" i="1"/>
  <c r="R73" i="1"/>
  <c r="R69" i="1"/>
  <c r="R65" i="1"/>
  <c r="R61" i="1"/>
  <c r="R57" i="1"/>
  <c r="R53" i="1"/>
  <c r="R49" i="1"/>
  <c r="R45" i="1"/>
  <c r="R41" i="1"/>
  <c r="R37" i="1"/>
  <c r="R33" i="1"/>
  <c r="R23" i="1"/>
  <c r="R29" i="1"/>
  <c r="R26" i="1"/>
  <c r="R184" i="1"/>
  <c r="R180" i="1"/>
  <c r="R176" i="1"/>
  <c r="R172" i="1"/>
  <c r="R168" i="1"/>
  <c r="R164" i="1"/>
  <c r="R160" i="1"/>
  <c r="R156" i="1"/>
  <c r="R152" i="1"/>
  <c r="R148" i="1"/>
  <c r="R144" i="1"/>
  <c r="R140" i="1"/>
  <c r="R136" i="1"/>
  <c r="R132" i="1"/>
  <c r="R128" i="1"/>
  <c r="R124" i="1"/>
  <c r="R120" i="1"/>
  <c r="R116" i="1"/>
  <c r="R112" i="1"/>
  <c r="R108" i="1"/>
  <c r="R104" i="1"/>
  <c r="R100" i="1"/>
  <c r="R96" i="1"/>
  <c r="R92" i="1"/>
  <c r="R87" i="1"/>
  <c r="R84" i="1"/>
  <c r="R80" i="1"/>
  <c r="R75" i="1"/>
  <c r="R72" i="1"/>
  <c r="R68" i="1"/>
  <c r="R63" i="1"/>
  <c r="R60" i="1"/>
  <c r="R56" i="1"/>
  <c r="R51" i="1"/>
  <c r="R48" i="1"/>
  <c r="R44" i="1"/>
  <c r="R39" i="1"/>
  <c r="R36" i="1"/>
  <c r="R32" i="1"/>
  <c r="R31" i="1"/>
  <c r="R28" i="1"/>
  <c r="R20" i="1"/>
  <c r="R17" i="1"/>
  <c r="R13" i="1"/>
  <c r="R10" i="1"/>
  <c r="R5" i="1"/>
  <c r="T18" i="1"/>
  <c r="T14" i="1"/>
  <c r="T9" i="1"/>
  <c r="T6" i="1"/>
  <c r="R16" i="1"/>
  <c r="R12" i="1"/>
  <c r="R8" i="1"/>
  <c r="R4" i="1"/>
  <c r="R19" i="1"/>
  <c r="R15" i="1"/>
  <c r="R11" i="1"/>
  <c r="R7" i="1"/>
  <c r="R3" i="1"/>
  <c r="R2" i="1"/>
</calcChain>
</file>

<file path=xl/sharedStrings.xml><?xml version="1.0" encoding="utf-8"?>
<sst xmlns="http://schemas.openxmlformats.org/spreadsheetml/2006/main" count="3076" uniqueCount="972">
  <si>
    <t xml:space="preserve">July </t>
  </si>
  <si>
    <t>August</t>
  </si>
  <si>
    <t>September</t>
  </si>
  <si>
    <t>October</t>
  </si>
  <si>
    <t>November</t>
  </si>
  <si>
    <t>December</t>
  </si>
  <si>
    <t>January</t>
  </si>
  <si>
    <t>February</t>
  </si>
  <si>
    <t xml:space="preserve">March </t>
  </si>
  <si>
    <t>Reservoir</t>
  </si>
  <si>
    <t>Building</t>
  </si>
  <si>
    <t>Household</t>
  </si>
  <si>
    <t>16S_SeqID</t>
  </si>
  <si>
    <t>AB12</t>
  </si>
  <si>
    <t>AB14</t>
  </si>
  <si>
    <t>AB22</t>
  </si>
  <si>
    <t>AB24</t>
  </si>
  <si>
    <t>AB32</t>
  </si>
  <si>
    <t>AB34</t>
  </si>
  <si>
    <t>AB52</t>
  </si>
  <si>
    <t>AB54</t>
  </si>
  <si>
    <t>AB62</t>
  </si>
  <si>
    <t>AB64</t>
  </si>
  <si>
    <t>AB72</t>
  </si>
  <si>
    <t>AB74</t>
  </si>
  <si>
    <t>AB82</t>
  </si>
  <si>
    <t>BR221</t>
  </si>
  <si>
    <t>BR223</t>
  </si>
  <si>
    <t>BR231</t>
  </si>
  <si>
    <t>BR233</t>
  </si>
  <si>
    <t>BR251</t>
  </si>
  <si>
    <t>BR261</t>
  </si>
  <si>
    <t>BR263</t>
  </si>
  <si>
    <t>BR271</t>
  </si>
  <si>
    <t>BR281</t>
  </si>
  <si>
    <t>BR283</t>
  </si>
  <si>
    <t>BR321</t>
  </si>
  <si>
    <t>BR323</t>
  </si>
  <si>
    <t>BR331</t>
  </si>
  <si>
    <t>BR333</t>
  </si>
  <si>
    <t>BR351</t>
  </si>
  <si>
    <t>BR361</t>
  </si>
  <si>
    <t>BR371</t>
  </si>
  <si>
    <t>BR381</t>
  </si>
  <si>
    <t>GAL31</t>
  </si>
  <si>
    <t>GAL33</t>
  </si>
  <si>
    <t>GAL61</t>
  </si>
  <si>
    <t>GAL63</t>
  </si>
  <si>
    <t>GAL71</t>
  </si>
  <si>
    <t>GAL81</t>
  </si>
  <si>
    <t>GK12</t>
  </si>
  <si>
    <t>GK22</t>
  </si>
  <si>
    <t>GK24</t>
  </si>
  <si>
    <t>GK32</t>
  </si>
  <si>
    <t>GK52</t>
  </si>
  <si>
    <t>GK54</t>
  </si>
  <si>
    <t>GK64</t>
  </si>
  <si>
    <t>GK72</t>
  </si>
  <si>
    <t>GK74</t>
  </si>
  <si>
    <t>MB221</t>
  </si>
  <si>
    <t>MB231</t>
  </si>
  <si>
    <t>MB233</t>
  </si>
  <si>
    <t>NS212</t>
  </si>
  <si>
    <t>NS214</t>
  </si>
  <si>
    <t>NS224</t>
  </si>
  <si>
    <t>NS232</t>
  </si>
  <si>
    <t>NS264</t>
  </si>
  <si>
    <t>NS274</t>
  </si>
  <si>
    <t>P4PL21</t>
  </si>
  <si>
    <t>P4PL31</t>
  </si>
  <si>
    <t>P4PL33</t>
  </si>
  <si>
    <t>P4PL61</t>
  </si>
  <si>
    <t>P4PL63</t>
  </si>
  <si>
    <t>RP623</t>
  </si>
  <si>
    <t>RP631</t>
  </si>
  <si>
    <t>RP633</t>
  </si>
  <si>
    <t>RP653</t>
  </si>
  <si>
    <t>RP663</t>
  </si>
  <si>
    <t>RP671</t>
  </si>
  <si>
    <t>RP681</t>
  </si>
  <si>
    <t>SIL12</t>
  </si>
  <si>
    <t>SIL22</t>
  </si>
  <si>
    <t>SIL24</t>
  </si>
  <si>
    <t>SIL32</t>
  </si>
  <si>
    <t>SIL34</t>
  </si>
  <si>
    <t>SIL52</t>
  </si>
  <si>
    <t>SIL54</t>
  </si>
  <si>
    <t>SIL62</t>
  </si>
  <si>
    <t>SIL64</t>
  </si>
  <si>
    <t>SIL72</t>
  </si>
  <si>
    <t>SIL74</t>
  </si>
  <si>
    <t>SIL82</t>
  </si>
  <si>
    <t>VAL12</t>
  </si>
  <si>
    <t>VAL14</t>
  </si>
  <si>
    <t>VAL22</t>
  </si>
  <si>
    <t>VAL24</t>
  </si>
  <si>
    <t>VAL32</t>
  </si>
  <si>
    <t>VAL74</t>
  </si>
  <si>
    <t>WAV14</t>
  </si>
  <si>
    <t>WAV22</t>
  </si>
  <si>
    <t>WAV24</t>
  </si>
  <si>
    <t>WAV32</t>
  </si>
  <si>
    <t>WAV64</t>
  </si>
  <si>
    <t>WAV72</t>
  </si>
  <si>
    <t>WAV74</t>
  </si>
  <si>
    <t>WAV82</t>
  </si>
  <si>
    <t>date</t>
  </si>
  <si>
    <t>PIFcsFiles</t>
  </si>
  <si>
    <t>20180711_BR2_PI.fcs</t>
  </si>
  <si>
    <t>20180711_BR3_PI.fcs</t>
  </si>
  <si>
    <t>20180711_GL_PI.fcs</t>
  </si>
  <si>
    <t>20180711_MB2_PI.fcs</t>
  </si>
  <si>
    <t>20180711_P4PL_PI.fcs</t>
  </si>
  <si>
    <t>20180711_RP6_PI.fcs</t>
  </si>
  <si>
    <t>20180718_AB_PI.fcs</t>
  </si>
  <si>
    <t>20180718_GK_PI.fcs</t>
  </si>
  <si>
    <t>20180718_NS2_PI.fcs</t>
  </si>
  <si>
    <t>20180718_SIL_PI.fcs</t>
  </si>
  <si>
    <t>20180718_VAL_PI.fcs</t>
  </si>
  <si>
    <t>20180718_WAV_PI.fcs</t>
  </si>
  <si>
    <t>20180724_BR2_PI.fcs</t>
  </si>
  <si>
    <t>20180724_BR3_PI.fcs</t>
  </si>
  <si>
    <t>20180724_GL_PI.fcs</t>
  </si>
  <si>
    <t>20180724_MB2_PI.fcs</t>
  </si>
  <si>
    <t>20180724_P4PL_PI.fcs</t>
  </si>
  <si>
    <t>20180724_RP6_PI.fcs</t>
  </si>
  <si>
    <t>20180801_AB_PI.fcs</t>
  </si>
  <si>
    <t>20180801_BR2_PI.fcs</t>
  </si>
  <si>
    <t>20180801_BR3_PI.fcs</t>
  </si>
  <si>
    <t>20180801_GK_PI.fcs</t>
  </si>
  <si>
    <t>20180801_GL_PI.fcs</t>
  </si>
  <si>
    <t>20180801_MB2_PI.fcs</t>
  </si>
  <si>
    <t>20180801_NS2_PI.fcs</t>
  </si>
  <si>
    <t>20180801_P4PL_PI.fcs</t>
  </si>
  <si>
    <t>20180801_RP6_PI.fcs</t>
  </si>
  <si>
    <t>20180801_SIL_PI.fcs</t>
  </si>
  <si>
    <t>20180801_VAL_PI.fcs</t>
  </si>
  <si>
    <t>20180801_WAV_PI.fcs</t>
  </si>
  <si>
    <t>20180808_BR2_PI.fcs</t>
  </si>
  <si>
    <t>20180808_BR3_PI.fcs</t>
  </si>
  <si>
    <t>20180808_GL_PI.fcs</t>
  </si>
  <si>
    <t>20180808_MB2_PI.fcs</t>
  </si>
  <si>
    <t>20180808_P4PL_PI.fcs</t>
  </si>
  <si>
    <t>20180808_RP6_PI.fcs</t>
  </si>
  <si>
    <t>20180815_AB_PI.fcs</t>
  </si>
  <si>
    <t>20180815_GK_PI.fcs</t>
  </si>
  <si>
    <t>20180815_NS2_PI.fcs</t>
  </si>
  <si>
    <t>20180815_SIL_PI.fcs</t>
  </si>
  <si>
    <t>20180815_VAL_PI.fcs</t>
  </si>
  <si>
    <t>20180815_WAV_PI.fcs</t>
  </si>
  <si>
    <t>20180822_BR2_PI.fcs</t>
  </si>
  <si>
    <t>20180822_BR3_PI.fcs</t>
  </si>
  <si>
    <t>20180822_GL_PI.fcs</t>
  </si>
  <si>
    <t>20180822_P4PL_PI.fcs</t>
  </si>
  <si>
    <t>20180822_RP6_PI.fcs</t>
  </si>
  <si>
    <t>20180829_AB_PI.fcs</t>
  </si>
  <si>
    <t>20180829_GK_PI.fcs</t>
  </si>
  <si>
    <t>20180829_NS2_PI.fcs</t>
  </si>
  <si>
    <t>20180829_SIL_PI.fcs</t>
  </si>
  <si>
    <t>20180829_VAL_PI.fcs</t>
  </si>
  <si>
    <t>20180829_WAV_PI.fcs</t>
  </si>
  <si>
    <t>20180905_BR2_PI.fcs</t>
  </si>
  <si>
    <t>20180905_BR3_PI.fcs</t>
  </si>
  <si>
    <t>20180905_GL_PI.fcs</t>
  </si>
  <si>
    <t>20180905_MB2_PI.fcs</t>
  </si>
  <si>
    <t>20180905_P4PL_PI.fcs</t>
  </si>
  <si>
    <t>20180905_RP6_PI.fcs</t>
  </si>
  <si>
    <t>20180912_AB_PI.fcs</t>
  </si>
  <si>
    <t>20180912_GK_PI.fcs</t>
  </si>
  <si>
    <t>20180912_NS2_PI.fcs</t>
  </si>
  <si>
    <t>20180912_SIL_PI.fcs</t>
  </si>
  <si>
    <t>20180912_VAL_PI.fcs</t>
  </si>
  <si>
    <t>20180912_WAV_PI.fcs</t>
  </si>
  <si>
    <t>20180919_BR2_PI.fcs</t>
  </si>
  <si>
    <t>20180919_BR3_PI.fcs</t>
  </si>
  <si>
    <t>20180919_GL_PI.fcs</t>
  </si>
  <si>
    <t>20180919_MB2_PI.fcs</t>
  </si>
  <si>
    <t>20180919_P4PL_PI.fcs</t>
  </si>
  <si>
    <t>20180919_RP6_PI.fcs</t>
  </si>
  <si>
    <t>20180926_AB_PI.fcs</t>
  </si>
  <si>
    <t>20180926_GK_PI.fcs</t>
  </si>
  <si>
    <t>20180926_NS2_PI.fcs</t>
  </si>
  <si>
    <t>20180926_SIL_PI.fcs</t>
  </si>
  <si>
    <t>20180926_VAL_PI.fcs</t>
  </si>
  <si>
    <t>20180926_WAV_PI.fcs</t>
  </si>
  <si>
    <t>20181003_BR2_PI.fcs</t>
  </si>
  <si>
    <t>20181003_BR3_PI.fcs</t>
  </si>
  <si>
    <t>20181003_GL_PI.fcs</t>
  </si>
  <si>
    <t>20181003_MB2_PI.fcs</t>
  </si>
  <si>
    <t>20181003_P4PL_PI.fcs</t>
  </si>
  <si>
    <t>20181003_RP6_PI.fcs</t>
  </si>
  <si>
    <t>20181010_AB_PI.fcs</t>
  </si>
  <si>
    <t>20181010_GK_PI.fcs</t>
  </si>
  <si>
    <t>20181010_NS2_PI.fcs</t>
  </si>
  <si>
    <t>20181010_SIL_PI.fcs</t>
  </si>
  <si>
    <t>20181010_VAL_PI.fcs</t>
  </si>
  <si>
    <t>20181010_WAV_PI.fcs</t>
  </si>
  <si>
    <t>20181017_BR2_PI.fcs</t>
  </si>
  <si>
    <t>20181017_BR3_PI.fcs</t>
  </si>
  <si>
    <t>20181017_GL_PI.fcs</t>
  </si>
  <si>
    <t>20181017_MB2_PI.fcs</t>
  </si>
  <si>
    <t>20181017_P4PL_PI.fcs</t>
  </si>
  <si>
    <t>20181017_RP6_PI.fcs</t>
  </si>
  <si>
    <t>20181031_BR2_PI.fcs</t>
  </si>
  <si>
    <t>20181031_BR3_PI.fcs</t>
  </si>
  <si>
    <t>20181031_GL_PI.fcs</t>
  </si>
  <si>
    <t>20181031_MB2_PI.fcs</t>
  </si>
  <si>
    <t>20181031_P4PL_PI.fcs</t>
  </si>
  <si>
    <t>20181031_RP6_PI.fcs</t>
  </si>
  <si>
    <t>20181107_AB_PI.fcs</t>
  </si>
  <si>
    <t>20181107_GK_PI.fcs</t>
  </si>
  <si>
    <t>20181107_NS2_PI.fcs</t>
  </si>
  <si>
    <t>20181107_SIL_PI.fcs</t>
  </si>
  <si>
    <t>20181107_VAL_PI.fcs</t>
  </si>
  <si>
    <t>20181107_WAV_PI.fcs</t>
  </si>
  <si>
    <t>20181114_BR2_PI.fcs</t>
  </si>
  <si>
    <t>20181114_BR3_PI.fcs</t>
  </si>
  <si>
    <t>20181114_GL_PI.fcs</t>
  </si>
  <si>
    <t>20181114_MB2_PI.fcs</t>
  </si>
  <si>
    <t>20181114_P4PL_PI.fcs</t>
  </si>
  <si>
    <t>20181114_RP6_PI.fcs</t>
  </si>
  <si>
    <t>20181121_AB_PI.fcs</t>
  </si>
  <si>
    <t>20181121_GK_PI.fcs</t>
  </si>
  <si>
    <t>20181121_NS_PI.fcs</t>
  </si>
  <si>
    <t>20181121_SIL_PI.fcs</t>
  </si>
  <si>
    <t>20181121_VAL_PI.fcs</t>
  </si>
  <si>
    <t>20181121_WAV_PI.fcs</t>
  </si>
  <si>
    <t>20181128_BR2_PI.fcs</t>
  </si>
  <si>
    <t>20181128_BR3_PI.fcs</t>
  </si>
  <si>
    <t>20181128_GL_PI.fcs</t>
  </si>
  <si>
    <t>20181128_MB2_PI.fcs</t>
  </si>
  <si>
    <t>20181128_P4PL_PI.fcs</t>
  </si>
  <si>
    <t>20181128_RP6_PI.fcs</t>
  </si>
  <si>
    <t>20181205_AB_PI.fcs</t>
  </si>
  <si>
    <t>20181205_GK2_PI.fcs</t>
  </si>
  <si>
    <t>20181205_NS2_PI.fcs</t>
  </si>
  <si>
    <t>20181205_SIL_PI.fcs</t>
  </si>
  <si>
    <t>20181205_VAL_PI.fcs</t>
  </si>
  <si>
    <t>20181205_WAV_PI.fcs</t>
  </si>
  <si>
    <t>20181212_BR2_PI.fcs</t>
  </si>
  <si>
    <t>20181212_BR3_PI.fcs</t>
  </si>
  <si>
    <t>20181212_GL_PI.fcs</t>
  </si>
  <si>
    <t>20181212_MB2_PI.fcs</t>
  </si>
  <si>
    <t>20181212_P4PL_PI.fcs</t>
  </si>
  <si>
    <t>20181212_RP6_PI.fcs</t>
  </si>
  <si>
    <t>20190116_AB_PI.fcs</t>
  </si>
  <si>
    <t>20190116_GK_PI.fcs</t>
  </si>
  <si>
    <t>20190116_NS2_PI.fcs</t>
  </si>
  <si>
    <t>20190116_SIL_PI.fcs</t>
  </si>
  <si>
    <t>20190116_VAL_PI.fcs</t>
  </si>
  <si>
    <t>20190116_WAV_PI.fcs</t>
  </si>
  <si>
    <t>20190123_BR2_PI.fcs</t>
  </si>
  <si>
    <t>20190123_BR3_PI.fcs</t>
  </si>
  <si>
    <t>20190123_GL_PI.fcs</t>
  </si>
  <si>
    <t>20190123_MB2_PI.fcs</t>
  </si>
  <si>
    <t>20190123_P4PL_PI.fcs</t>
  </si>
  <si>
    <t>20190123_RP6_PI.fcs</t>
  </si>
  <si>
    <t>20190130_AB_PI.fcs</t>
  </si>
  <si>
    <t>20190130_GK_PI.fcs</t>
  </si>
  <si>
    <t>20190130_NS2_PI.fcs</t>
  </si>
  <si>
    <t>20190130_SIL_PI.fcs</t>
  </si>
  <si>
    <t>20190130_VAL_PI.fcs</t>
  </si>
  <si>
    <t>20190130_WAV_PI.fcs</t>
  </si>
  <si>
    <t>20190206_BR2 _PI.fcs</t>
  </si>
  <si>
    <t>20190206_BR3_PI.fcs</t>
  </si>
  <si>
    <t>20190206_GL_PI.fcs</t>
  </si>
  <si>
    <t>20190206_MB2_PI.fcs</t>
  </si>
  <si>
    <t>20190206_P4PL_PI.fcs</t>
  </si>
  <si>
    <t>20190206_RP6_PI.fcs</t>
  </si>
  <si>
    <t>20190213_AB_PI.fcs</t>
  </si>
  <si>
    <t>20190213_GK_PI.fcs</t>
  </si>
  <si>
    <t>20190213_NS2_PI.fcs</t>
  </si>
  <si>
    <t>20190213_SIL_PI.fcs</t>
  </si>
  <si>
    <t>20190213_VAL_PI.fcs</t>
  </si>
  <si>
    <t>20190213_WAV_PI.fcs</t>
  </si>
  <si>
    <t>20190220_BR2_PI.fcs</t>
  </si>
  <si>
    <t>20190220_BR3_PI.fcs</t>
  </si>
  <si>
    <t>20190220_GL_PI.fcs</t>
  </si>
  <si>
    <t>20190220_MB2_PI.fcs</t>
  </si>
  <si>
    <t>20190220_P4PL_PI.fcs</t>
  </si>
  <si>
    <t>20190220_RP6_PI.fcs</t>
  </si>
  <si>
    <t>20190227_AB_PI.fcs</t>
  </si>
  <si>
    <t>20190227_GK_PI.fcs</t>
  </si>
  <si>
    <t>20190227_NS2_PI.fcs</t>
  </si>
  <si>
    <t>20190227_SIL_PI.fcs</t>
  </si>
  <si>
    <t>20190227_VAL_PI.fcs</t>
  </si>
  <si>
    <t>20190227_WAV_PI.fcs</t>
  </si>
  <si>
    <t>20190306_BR2_PI.fcs</t>
  </si>
  <si>
    <t>20190306_BR3_PI.fcs</t>
  </si>
  <si>
    <t>20190306_GL_PI.fcs</t>
  </si>
  <si>
    <t>20190306_MB2_PI.fcs</t>
  </si>
  <si>
    <t>20190306_P4PL_PI.fcs</t>
  </si>
  <si>
    <t>20190306_RP6_PI.fcs</t>
  </si>
  <si>
    <t>20180822_MB2_PI.fcs</t>
  </si>
  <si>
    <t>SGFcsFiles</t>
  </si>
  <si>
    <t>20180711_BR2_SG.fcs</t>
  </si>
  <si>
    <t>20180711_BR3_SG.fcs</t>
  </si>
  <si>
    <t>20180711_GL_SG.fcs</t>
  </si>
  <si>
    <t>20180711_MB2_SG.fcs</t>
  </si>
  <si>
    <t>20180711_P4PL_SG.fcs</t>
  </si>
  <si>
    <t>20180711_RP6_SG.fcs</t>
  </si>
  <si>
    <t>20180718_AB_SG.fcs</t>
  </si>
  <si>
    <t>20180718_GK_SG.fcs</t>
  </si>
  <si>
    <t>20180718_NS2_SG.fcs</t>
  </si>
  <si>
    <t>20180718_SIL_SG.fcs</t>
  </si>
  <si>
    <t>20180718_VAL_SG.fcs</t>
  </si>
  <si>
    <t>20180718_WAV_SG.fcs</t>
  </si>
  <si>
    <t>20180724_BR2_SG.fcs</t>
  </si>
  <si>
    <t>20180724_BR3_SG.fcs</t>
  </si>
  <si>
    <t>20180724_GL_SG.fcs</t>
  </si>
  <si>
    <t>20180724_MB2_SG.fcs</t>
  </si>
  <si>
    <t>20180724_P4PL_SG.fcs</t>
  </si>
  <si>
    <t>20180724_RP6_SG.fcs</t>
  </si>
  <si>
    <t>20180801_AB_SG.fcs</t>
  </si>
  <si>
    <t>20180801_BR2_SG.fcs</t>
  </si>
  <si>
    <t>20180801_BR3_SG.fcs</t>
  </si>
  <si>
    <t>20180801_GK_SG.fcs</t>
  </si>
  <si>
    <t>20180801_GL_SG.fcs</t>
  </si>
  <si>
    <t>20180801_MB2_SG.fcs</t>
  </si>
  <si>
    <t>20180801_NS2_SG.fcs</t>
  </si>
  <si>
    <t>20180801_P4PL_SG.fcs</t>
  </si>
  <si>
    <t>20180801_RP6_SG.fcs</t>
  </si>
  <si>
    <t>20180801_SIL_SG.fcs</t>
  </si>
  <si>
    <t>20180801_VAL_SG.fcs</t>
  </si>
  <si>
    <t>20180801_WAV_SG.fcs</t>
  </si>
  <si>
    <t>20180808_BR2_SG.fcs</t>
  </si>
  <si>
    <t>20180808_BR3_SG.fcs</t>
  </si>
  <si>
    <t>20180808_GL_SG.fcs</t>
  </si>
  <si>
    <t>20180808_P4PL_SG.fcs</t>
  </si>
  <si>
    <t>20180808_RP6_SG.fcs</t>
  </si>
  <si>
    <t>20180815_AB_SG.fcs</t>
  </si>
  <si>
    <t>20180815_GK_SG.fcs</t>
  </si>
  <si>
    <t>20180815_NS2_SG.fcs</t>
  </si>
  <si>
    <t>20180815_SIL_SG.fcs</t>
  </si>
  <si>
    <t>20180815_VAL_SG.fcs</t>
  </si>
  <si>
    <t>20180815_WAV_SG.fcs</t>
  </si>
  <si>
    <t>20180822_BR2_SG.fcs</t>
  </si>
  <si>
    <t>20180822_BR3_SG.fcs</t>
  </si>
  <si>
    <t>20180822_GL_SG.fcs</t>
  </si>
  <si>
    <t>20180822_P4PL_SG.fcs</t>
  </si>
  <si>
    <t>20180822_RP6_SG.fcs</t>
  </si>
  <si>
    <t>20180829_AB_SG.fcs</t>
  </si>
  <si>
    <t>20180829_GK_SG.fcs</t>
  </si>
  <si>
    <t>20180829_NS2_SG.fcs</t>
  </si>
  <si>
    <t>20180829_SIL_SG.fcs</t>
  </si>
  <si>
    <t>20180829_VAL_SG.fcs</t>
  </si>
  <si>
    <t>20180829_WAV_SG.fcs</t>
  </si>
  <si>
    <t>20180905_BR2_SG.fcs</t>
  </si>
  <si>
    <t>20180905_BR3_SG.fcs</t>
  </si>
  <si>
    <t>20180905_GL_SG.fcs</t>
  </si>
  <si>
    <t>20180905_P4PL_SG.fcs</t>
  </si>
  <si>
    <t>20180905_RP6_SG.fcs</t>
  </si>
  <si>
    <t>20180912_AB_SG.fcs</t>
  </si>
  <si>
    <t>20180912_GK_SG.fcs</t>
  </si>
  <si>
    <t>20180912_NS2_SG.fcs</t>
  </si>
  <si>
    <t>20180912_SIL_SG.fcs</t>
  </si>
  <si>
    <t>20180912_VAL_SG.fcs</t>
  </si>
  <si>
    <t>20180912_WAV_SG.fcs</t>
  </si>
  <si>
    <t>20180919_BR2_SG.fcs</t>
  </si>
  <si>
    <t>20180919_BR3_SG.fcs</t>
  </si>
  <si>
    <t>20180919_GL_SG.fcs</t>
  </si>
  <si>
    <t>20180919_MB2_SG.fcs</t>
  </si>
  <si>
    <t>20180919_P4PL_SG.fcs</t>
  </si>
  <si>
    <t>20180919_RP6_SG.fcs</t>
  </si>
  <si>
    <t>20180926_AB_SG.fcs</t>
  </si>
  <si>
    <t>20180926_GK_SG.fcs</t>
  </si>
  <si>
    <t>20180926_NS2_SG.fcs</t>
  </si>
  <si>
    <t>20180926_SIL_SG.fcs</t>
  </si>
  <si>
    <t>20180926_VAL_SG.fcs</t>
  </si>
  <si>
    <t>20180926_WAV _SG.fcs</t>
  </si>
  <si>
    <t>20181003_BR2_SG.fcs</t>
  </si>
  <si>
    <t>20181003_BR3_SG.fcs</t>
  </si>
  <si>
    <t>20181003_GL_SG.fcs</t>
  </si>
  <si>
    <t>20181003_MB2_SG.fcs</t>
  </si>
  <si>
    <t>20181003_P4PL_SG.fcs</t>
  </si>
  <si>
    <t>20181003_RP6_SG.fcs</t>
  </si>
  <si>
    <t>20181010_AB_SG.fcs</t>
  </si>
  <si>
    <t>20181010_GK_SG.fcs</t>
  </si>
  <si>
    <t>20181010_NS2_SG.fcs</t>
  </si>
  <si>
    <t>20181010_SIL_SG.fcs</t>
  </si>
  <si>
    <t>20181010_VAL_SG.fcs</t>
  </si>
  <si>
    <t>20181010_WAV_SG.fcs</t>
  </si>
  <si>
    <t>20181017_BR2_SG.fcs</t>
  </si>
  <si>
    <t>20181017_BR3_SG.fcs</t>
  </si>
  <si>
    <t>20181017_GL_SG.fcs</t>
  </si>
  <si>
    <t>20181017_MB2_SG.fcs</t>
  </si>
  <si>
    <t>20181017_P4PL_SG.fcs</t>
  </si>
  <si>
    <t>20181017_RP6_SG.fcs</t>
  </si>
  <si>
    <t>20181031_BR2_SG.fcs</t>
  </si>
  <si>
    <t>20181031_BR3_SG.fcs</t>
  </si>
  <si>
    <t>20181031_GL_SG.fcs</t>
  </si>
  <si>
    <t>20181031_MB2_SG.fcs</t>
  </si>
  <si>
    <t>20181031_P4PL_SG.fcs</t>
  </si>
  <si>
    <t>20181031_RP6_SG.fcs</t>
  </si>
  <si>
    <t>20181107_AB_SG.fcs</t>
  </si>
  <si>
    <t>20181107_GK_SG.fcs</t>
  </si>
  <si>
    <t>20181107_NS2_SG.fcs</t>
  </si>
  <si>
    <t>20181107_SIL_SG.fcs</t>
  </si>
  <si>
    <t>20181107_VAL_SG.fcs</t>
  </si>
  <si>
    <t>20181107_WAV_SG.fcs</t>
  </si>
  <si>
    <t>20181114_BR2_SG.fcs</t>
  </si>
  <si>
    <t>20181114_BR3_SG.fcs</t>
  </si>
  <si>
    <t>20181114_GL_SG.fcs</t>
  </si>
  <si>
    <t>20181114_MB_SG.fcs</t>
  </si>
  <si>
    <t>20181114_P4PL_SG.fcs</t>
  </si>
  <si>
    <t>20181114_RP6_SG.fcs</t>
  </si>
  <si>
    <t>20181121_AB_SG.fcs</t>
  </si>
  <si>
    <t>20181121_GK_SG.fcs</t>
  </si>
  <si>
    <t>20181121_NS_SG.fcs</t>
  </si>
  <si>
    <t>20181121_SIL_SG.fcs</t>
  </si>
  <si>
    <t>20181121_VAL_SG.fcs</t>
  </si>
  <si>
    <t>20181121__WAV_SG.fcs</t>
  </si>
  <si>
    <t>20181128_BR2_SG.fcs</t>
  </si>
  <si>
    <t>20181128_BR3_SG.fcs</t>
  </si>
  <si>
    <t>20181128_GL_SG.fcs</t>
  </si>
  <si>
    <t>20181128_MB2_SG.fcs</t>
  </si>
  <si>
    <t>20181128_P4PL_SG.fcs</t>
  </si>
  <si>
    <t>20181128_RP6_SG.fcs</t>
  </si>
  <si>
    <t>20181205_AB_SG.fcs</t>
  </si>
  <si>
    <t>20181205_GK_SG.fcs</t>
  </si>
  <si>
    <t>20181205_NS2_SG.fcs</t>
  </si>
  <si>
    <t>20181205_SIL_SG.fcs</t>
  </si>
  <si>
    <t>20181205_VAL_SG.fcs</t>
  </si>
  <si>
    <t>20181205_WAV_SG.fcs</t>
  </si>
  <si>
    <t>20181212_BR2_SG.fcs</t>
  </si>
  <si>
    <t>20181212_BR3_SG.fcs</t>
  </si>
  <si>
    <t>20181212_GL_SG.fcs</t>
  </si>
  <si>
    <t>20181212_MB2_SG.fcs</t>
  </si>
  <si>
    <t>20181212_P4PL_SG.fcs</t>
  </si>
  <si>
    <t>20181212_RP6_SG.fcs</t>
  </si>
  <si>
    <t>20190116_AB_SG.fcs</t>
  </si>
  <si>
    <t>20190116_GK_SG.fcs</t>
  </si>
  <si>
    <t>20190116_NS2_SG.fcs</t>
  </si>
  <si>
    <t>20190116_SIL_SG.fcs</t>
  </si>
  <si>
    <t>20190116_VAL_SG.fcs</t>
  </si>
  <si>
    <t>20190116_WAV_SG.fcs</t>
  </si>
  <si>
    <t>20190123_BR2_SG.fcs</t>
  </si>
  <si>
    <t>20190123_BR3_SG.fcs</t>
  </si>
  <si>
    <t>20190123_GL_SG.fcs</t>
  </si>
  <si>
    <t>20190123_MB2_SG.fcs</t>
  </si>
  <si>
    <t>20190123_P4PL_SG.fcs</t>
  </si>
  <si>
    <t>20190123_RP6_SG.fcs</t>
  </si>
  <si>
    <t>20190130_AB_SG.fcs</t>
  </si>
  <si>
    <t>20190130_GK_SG.fcs</t>
  </si>
  <si>
    <t>20190130_NS2_SG.fcs</t>
  </si>
  <si>
    <t>20190130_SIL_SG.fcs</t>
  </si>
  <si>
    <t>20190130_VAL_SG.fcs</t>
  </si>
  <si>
    <t>20190130_WAV_SG.fcs</t>
  </si>
  <si>
    <t>20190206_BR2_SG.fcs</t>
  </si>
  <si>
    <t>20190206_BR3_SG.fcs</t>
  </si>
  <si>
    <t>20190206_GL_SG.fcs</t>
  </si>
  <si>
    <t>20190206_MB2_SG.fcs</t>
  </si>
  <si>
    <t>20190206_P4PL_SG.fcs</t>
  </si>
  <si>
    <t>20190206_RP6_SG.fcs</t>
  </si>
  <si>
    <t>20190213_AB_SG.fcs</t>
  </si>
  <si>
    <t>20190213_GK_SG.fcs</t>
  </si>
  <si>
    <t>20190213_NS2_SG.fcs</t>
  </si>
  <si>
    <t>20190213_SIL_SG.fcs</t>
  </si>
  <si>
    <t>20190213_VAL_SG.fcs</t>
  </si>
  <si>
    <t>20190213_WAV_SG.fcs</t>
  </si>
  <si>
    <t>20190220_BR2_SG.fcs</t>
  </si>
  <si>
    <t>20190220_BR3_SG.fcs</t>
  </si>
  <si>
    <t>20190220_GL_SG.fcs</t>
  </si>
  <si>
    <t>20190220_MB2_SG.fcs</t>
  </si>
  <si>
    <t>20190220_P4PL_SG.fcs</t>
  </si>
  <si>
    <t>20190220_RP6_SG.fcs</t>
  </si>
  <si>
    <t>20190227_AB_SG.fcs</t>
  </si>
  <si>
    <t>20190227_GK_SG.fcs</t>
  </si>
  <si>
    <t>20190227_NS2_SG.fcs</t>
  </si>
  <si>
    <t>20190227_SIL_SG.fcs</t>
  </si>
  <si>
    <t>20190227_VAL_SG.fcs</t>
  </si>
  <si>
    <t>20190227_WAV_SG.fcs</t>
  </si>
  <si>
    <t>20190306_BR2_SG.fcs</t>
  </si>
  <si>
    <t>20190306_BR3_SG.fcs</t>
  </si>
  <si>
    <t>20190306_GL_SG.fcs</t>
  </si>
  <si>
    <t>20190306_MB2_SG.fcs</t>
  </si>
  <si>
    <t>20190306_P4PL_SG.fcs</t>
  </si>
  <si>
    <t>20190306_RP6_SG.fcs</t>
  </si>
  <si>
    <t>20180808_MB2_SG.fcs</t>
  </si>
  <si>
    <t>20180822_MB2_SG.fcs</t>
  </si>
  <si>
    <t>20180905_MB2_SG.fcs</t>
  </si>
  <si>
    <t>0,1</t>
  </si>
  <si>
    <t>0,02</t>
  </si>
  <si>
    <t>0,08</t>
  </si>
  <si>
    <t>1,31</t>
  </si>
  <si>
    <t>0,06</t>
  </si>
  <si>
    <t>1,25</t>
  </si>
  <si>
    <t>8,78</t>
  </si>
  <si>
    <t>0,09</t>
  </si>
  <si>
    <t>0,01</t>
  </si>
  <si>
    <t>7,26</t>
  </si>
  <si>
    <t>0,07</t>
  </si>
  <si>
    <t>0,16</t>
  </si>
  <si>
    <t>0,03</t>
  </si>
  <si>
    <t>0,13</t>
  </si>
  <si>
    <t>8,14</t>
  </si>
  <si>
    <t>0,04</t>
  </si>
  <si>
    <t>7,88</t>
  </si>
  <si>
    <t>1,53</t>
  </si>
  <si>
    <t>8,12</t>
  </si>
  <si>
    <t>1,66</t>
  </si>
  <si>
    <t>8,18</t>
  </si>
  <si>
    <t>7,77</t>
  </si>
  <si>
    <t>0,32</t>
  </si>
  <si>
    <t>8,02</t>
  </si>
  <si>
    <t>0,26</t>
  </si>
  <si>
    <t>0,25</t>
  </si>
  <si>
    <t>7,91</t>
  </si>
  <si>
    <t>0,05</t>
  </si>
  <si>
    <t>7,89</t>
  </si>
  <si>
    <t>8,16</t>
  </si>
  <si>
    <t>1,74</t>
  </si>
  <si>
    <t>0,12</t>
  </si>
  <si>
    <t>8,25</t>
  </si>
  <si>
    <t>8,51</t>
  </si>
  <si>
    <t>8,28</t>
  </si>
  <si>
    <t>1,72</t>
  </si>
  <si>
    <t>8,64</t>
  </si>
  <si>
    <t>0,99</t>
  </si>
  <si>
    <t>1,89</t>
  </si>
  <si>
    <t>8,03</t>
  </si>
  <si>
    <t>1,73</t>
  </si>
  <si>
    <t>0,22</t>
  </si>
  <si>
    <t>8,35</t>
  </si>
  <si>
    <t>1,24</t>
  </si>
  <si>
    <t>0,39</t>
  </si>
  <si>
    <t>8,27</t>
  </si>
  <si>
    <t>1,71</t>
  </si>
  <si>
    <t>0,5</t>
  </si>
  <si>
    <t>1,21</t>
  </si>
  <si>
    <t>1,38</t>
  </si>
  <si>
    <t>0,17</t>
  </si>
  <si>
    <t>8,47</t>
  </si>
  <si>
    <t>7,83</t>
  </si>
  <si>
    <t>7,72</t>
  </si>
  <si>
    <t>1,82</t>
  </si>
  <si>
    <t>0,68</t>
  </si>
  <si>
    <t>8,45</t>
  </si>
  <si>
    <t>1,76</t>
  </si>
  <si>
    <t>0,91</t>
  </si>
  <si>
    <t>8,26</t>
  </si>
  <si>
    <t>7,84</t>
  </si>
  <si>
    <t>0,11</t>
  </si>
  <si>
    <t>8,34</t>
  </si>
  <si>
    <t>1,79</t>
  </si>
  <si>
    <t>8,72</t>
  </si>
  <si>
    <t>0,21</t>
  </si>
  <si>
    <t>0,18</t>
  </si>
  <si>
    <t>0,98</t>
  </si>
  <si>
    <t>0,93</t>
  </si>
  <si>
    <t>8,11</t>
  </si>
  <si>
    <t>1,48</t>
  </si>
  <si>
    <t>0,19</t>
  </si>
  <si>
    <t>1,29</t>
  </si>
  <si>
    <t>8,31</t>
  </si>
  <si>
    <t>1,12</t>
  </si>
  <si>
    <t>0,36</t>
  </si>
  <si>
    <t>0,76</t>
  </si>
  <si>
    <t>8,2</t>
  </si>
  <si>
    <t>0,14</t>
  </si>
  <si>
    <t>8,23</t>
  </si>
  <si>
    <t>7,86</t>
  </si>
  <si>
    <t>7,58</t>
  </si>
  <si>
    <t>0,82</t>
  </si>
  <si>
    <t>0,44</t>
  </si>
  <si>
    <t>7,67</t>
  </si>
  <si>
    <t>7,81</t>
  </si>
  <si>
    <t>0,7</t>
  </si>
  <si>
    <t>0,64</t>
  </si>
  <si>
    <t>0,6</t>
  </si>
  <si>
    <t>7,76</t>
  </si>
  <si>
    <t>0,42</t>
  </si>
  <si>
    <t>7,7</t>
  </si>
  <si>
    <t>7,95</t>
  </si>
  <si>
    <t>0,34</t>
  </si>
  <si>
    <t>7,18</t>
  </si>
  <si>
    <t>0,43</t>
  </si>
  <si>
    <t>0,23</t>
  </si>
  <si>
    <t>0,2</t>
  </si>
  <si>
    <t>7,98</t>
  </si>
  <si>
    <t>0,29</t>
  </si>
  <si>
    <t>8,13</t>
  </si>
  <si>
    <t>1,45</t>
  </si>
  <si>
    <t>8,42</t>
  </si>
  <si>
    <t>1,59</t>
  </si>
  <si>
    <t>8,61</t>
  </si>
  <si>
    <t>1,37</t>
  </si>
  <si>
    <t>0,15</t>
  </si>
  <si>
    <t>1,01</t>
  </si>
  <si>
    <t>1,33</t>
  </si>
  <si>
    <t>8,3</t>
  </si>
  <si>
    <t>1,08</t>
  </si>
  <si>
    <t>8,32</t>
  </si>
  <si>
    <t>0,79</t>
  </si>
  <si>
    <t>0,62</t>
  </si>
  <si>
    <t>8,39</t>
  </si>
  <si>
    <t>0,9</t>
  </si>
  <si>
    <t>0,48</t>
  </si>
  <si>
    <t>8,49</t>
  </si>
  <si>
    <t>1,06</t>
  </si>
  <si>
    <t>0,8</t>
  </si>
  <si>
    <t>0,72</t>
  </si>
  <si>
    <t>8,43</t>
  </si>
  <si>
    <t>0,53</t>
  </si>
  <si>
    <t>8,69</t>
  </si>
  <si>
    <t>0,4</t>
  </si>
  <si>
    <t>8,44</t>
  </si>
  <si>
    <t>0,35</t>
  </si>
  <si>
    <t>8,57</t>
  </si>
  <si>
    <t>8,77</t>
  </si>
  <si>
    <t>1,44</t>
  </si>
  <si>
    <t>8,48</t>
  </si>
  <si>
    <t>8,71</t>
  </si>
  <si>
    <t>1,52</t>
  </si>
  <si>
    <t>8,5</t>
  </si>
  <si>
    <t>8,19</t>
  </si>
  <si>
    <t>1,41</t>
  </si>
  <si>
    <t>1,16</t>
  </si>
  <si>
    <t>1,04</t>
  </si>
  <si>
    <t>1,19</t>
  </si>
  <si>
    <t>0,47</t>
  </si>
  <si>
    <t>0,77</t>
  </si>
  <si>
    <t>0,37</t>
  </si>
  <si>
    <t>8,36</t>
  </si>
  <si>
    <t>0,67</t>
  </si>
  <si>
    <t>2,2</t>
  </si>
  <si>
    <t>0,75</t>
  </si>
  <si>
    <t>8,65</t>
  </si>
  <si>
    <t>8,63</t>
  </si>
  <si>
    <t>0,78</t>
  </si>
  <si>
    <t>0,56</t>
  </si>
  <si>
    <t>0,54</t>
  </si>
  <si>
    <t>0,61</t>
  </si>
  <si>
    <t>8,62</t>
  </si>
  <si>
    <t>8,15</t>
  </si>
  <si>
    <t>0,33</t>
  </si>
  <si>
    <t>0,55</t>
  </si>
  <si>
    <t>0,41</t>
  </si>
  <si>
    <t>0,69</t>
  </si>
  <si>
    <t>8,54</t>
  </si>
  <si>
    <t>8,86</t>
  </si>
  <si>
    <t>8,52</t>
  </si>
  <si>
    <t>0,31</t>
  </si>
  <si>
    <t>8,6</t>
  </si>
  <si>
    <t>8,91</t>
  </si>
  <si>
    <t>0,84</t>
  </si>
  <si>
    <t>0,74</t>
  </si>
  <si>
    <t>8,06</t>
  </si>
  <si>
    <t>8,22</t>
  </si>
  <si>
    <t>7,94</t>
  </si>
  <si>
    <t>0,59</t>
  </si>
  <si>
    <t>8,05</t>
  </si>
  <si>
    <t>7,93</t>
  </si>
  <si>
    <t>0,27</t>
  </si>
  <si>
    <t>8,4</t>
  </si>
  <si>
    <t>1,09</t>
  </si>
  <si>
    <t>8,09</t>
  </si>
  <si>
    <t>8,17</t>
  </si>
  <si>
    <t>0,97</t>
  </si>
  <si>
    <t>8,08</t>
  </si>
  <si>
    <t>0,87</t>
  </si>
  <si>
    <t>7,55</t>
  </si>
  <si>
    <t>7,8</t>
  </si>
  <si>
    <t>8,07</t>
  </si>
  <si>
    <t>0,94</t>
  </si>
  <si>
    <t>0,83</t>
  </si>
  <si>
    <t>8,01</t>
  </si>
  <si>
    <t>1,05</t>
  </si>
  <si>
    <t>7,97</t>
  </si>
  <si>
    <t>8,1</t>
  </si>
  <si>
    <t>7,82</t>
  </si>
  <si>
    <t>0,65</t>
  </si>
  <si>
    <t>8,21</t>
  </si>
  <si>
    <t>8,46</t>
  </si>
  <si>
    <t>8,76</t>
  </si>
  <si>
    <t>1,3</t>
  </si>
  <si>
    <t>8,56</t>
  </si>
  <si>
    <t>8,38</t>
  </si>
  <si>
    <t>newSampleID</t>
  </si>
  <si>
    <t>new_PIFcsFiles</t>
  </si>
  <si>
    <t>new_SGFcsFiles</t>
  </si>
  <si>
    <t>sampleMonthNumber</t>
  </si>
  <si>
    <t>month</t>
  </si>
  <si>
    <t>year</t>
  </si>
  <si>
    <t>RES_1</t>
  </si>
  <si>
    <t>RES_2</t>
  </si>
  <si>
    <t>RES_3</t>
  </si>
  <si>
    <t>RES_4</t>
  </si>
  <si>
    <t>RES_5</t>
  </si>
  <si>
    <t>RES_6</t>
  </si>
  <si>
    <t>COM_1</t>
  </si>
  <si>
    <t>HOUSE_1</t>
  </si>
  <si>
    <t>COM_2</t>
  </si>
  <si>
    <t>HOUSE_2</t>
  </si>
  <si>
    <t>HOUSE_3</t>
  </si>
  <si>
    <t>HOUSE_4</t>
  </si>
  <si>
    <t xml:space="preserve">week </t>
  </si>
  <si>
    <t>location</t>
  </si>
  <si>
    <t>type</t>
  </si>
  <si>
    <t>totalChlorine</t>
  </si>
  <si>
    <t>freeChorine</t>
  </si>
  <si>
    <t>pH</t>
  </si>
  <si>
    <t>sampleInMonth</t>
  </si>
  <si>
    <t>tempreture2</t>
  </si>
  <si>
    <t>tempreture1</t>
  </si>
  <si>
    <t>tempreture3</t>
  </si>
  <si>
    <t>***</t>
  </si>
  <si>
    <t>*</t>
  </si>
  <si>
    <t>Type Comparison</t>
  </si>
  <si>
    <t>Mean</t>
  </si>
  <si>
    <t>SD</t>
  </si>
  <si>
    <t>Min</t>
  </si>
  <si>
    <t>Max</t>
  </si>
  <si>
    <t>Building vs. Household</t>
  </si>
  <si>
    <t>Building vs. Reservoir</t>
  </si>
  <si>
    <t>Household vs. Reservoir</t>
  </si>
  <si>
    <t>**</t>
  </si>
  <si>
    <t>.</t>
  </si>
  <si>
    <t>Df</t>
  </si>
  <si>
    <t>F</t>
  </si>
  <si>
    <t>Pr(&gt;F)</t>
  </si>
  <si>
    <t>Residual</t>
  </si>
  <si>
    <t>Total</t>
  </si>
  <si>
    <t>Location Type</t>
  </si>
  <si>
    <t>Distance Metric</t>
  </si>
  <si>
    <t>Factor</t>
  </si>
  <si>
    <t>Sum of Squares</t>
  </si>
  <si>
    <t>R²</t>
  </si>
  <si>
    <t>Significance</t>
  </si>
  <si>
    <t>Bray-Curtis</t>
  </si>
  <si>
    <t>Jaccard</t>
  </si>
  <si>
    <t>Commercial Building</t>
  </si>
  <si>
    <t>Degrees of freedom</t>
  </si>
  <si>
    <t>Metric</t>
  </si>
  <si>
    <t>&lt;2e-16</t>
  </si>
  <si>
    <t>Residuals</t>
  </si>
  <si>
    <t>Sum Sq</t>
  </si>
  <si>
    <t>Mean Sq</t>
  </si>
  <si>
    <t>F value</t>
  </si>
  <si>
    <t>Comparison</t>
  </si>
  <si>
    <t>Building vs. Reservoir – Building vs. Household</t>
  </si>
  <si>
    <t>&lt; 0.0001</t>
  </si>
  <si>
    <t>Household vs. Reservoir – Building vs. Household</t>
  </si>
  <si>
    <t>Household vs. Reservoir – Building vs. Reservoir</t>
  </si>
  <si>
    <t>PERMANOVA (Bray-Curtis)</t>
  </si>
  <si>
    <t>One-way ANOVA (Bray-Curtis)</t>
  </si>
  <si>
    <t>Source</t>
  </si>
  <si>
    <t>Diff</t>
  </si>
  <si>
    <t>Lower CI</t>
  </si>
  <si>
    <t>Upper CI</t>
  </si>
  <si>
    <t>Adjusted p-value</t>
  </si>
  <si>
    <t>Type</t>
  </si>
  <si>
    <t>Type_compare</t>
  </si>
  <si>
    <t>PERMANOVA (Jaccard)</t>
  </si>
  <si>
    <t>One-way ANOVA (Jaccard)</t>
  </si>
  <si>
    <t>6.89×10⁻⁷</t>
  </si>
  <si>
    <t>1.89×10⁻⁵</t>
  </si>
  <si>
    <t>freeChlorine</t>
  </si>
  <si>
    <t>CAP1</t>
  </si>
  <si>
    <t>CAP2</t>
  </si>
  <si>
    <t>CAP3</t>
  </si>
  <si>
    <t>Groups</t>
  </si>
  <si>
    <t>Permutation test(Bray-Curtis)</t>
  </si>
  <si>
    <t>mean_dist</t>
  </si>
  <si>
    <t>sd_dist</t>
  </si>
  <si>
    <t>n</t>
  </si>
  <si>
    <t>Building – Household</t>
  </si>
  <si>
    <t>Building – Reservoir</t>
  </si>
  <si>
    <t>Household – Reservoir</t>
  </si>
  <si>
    <t>Souce</t>
  </si>
  <si>
    <t xml:space="preserve">Observed </t>
  </si>
  <si>
    <t xml:space="preserve">Permuted </t>
  </si>
  <si>
    <t>Permutation test(Jaccard)</t>
  </si>
  <si>
    <t>Bray Curtis</t>
  </si>
  <si>
    <t>Overall Test (Bray-Curtis)</t>
  </si>
  <si>
    <t>Pairwise Comparisons (Bray-Curtis)</t>
  </si>
  <si>
    <t>Overall Test (Jaccard)</t>
  </si>
  <si>
    <t>Pairwise Comparisons (Jaccard)</t>
  </si>
  <si>
    <t>Flow cytomtery data</t>
  </si>
  <si>
    <t xml:space="preserve">16S data </t>
  </si>
  <si>
    <t>Pairwise differences of microbial structure and community of flow cytomtery and 16S data bewteen location types</t>
  </si>
  <si>
    <t>16S data</t>
  </si>
  <si>
    <t xml:space="preserve">Flow cytometry data </t>
  </si>
  <si>
    <t>Permanova of flow cytometry data and 16S of community structure and membership across location type over several months</t>
  </si>
  <si>
    <t>Tukey Post-hoc Comparisons (Bray-Curtis)</t>
  </si>
  <si>
    <t>Tukey Post-hoc Comparisons (Jaccard)</t>
  </si>
  <si>
    <t>PERMANOVA results comparing microbial comunnity structure and membershio across sample types using flow cytometry and 16S data</t>
  </si>
  <si>
    <t>Tukeys post-hoc results comparing microbial comunnity structure and membershio across sample types using flow cytometry and 16S data</t>
  </si>
  <si>
    <t>Significance testing of physicochemical parameters (pH, Free Chlorine, Total Chlorine) on cicrobial community structure and membership using distance-based redundancy analysis (dbRDA)</t>
  </si>
  <si>
    <t>Individual effects of water quality parameters (pH, Free Chlorine, and Total Chlorine) on microbial community structure and membership Using PERMANOVA</t>
  </si>
  <si>
    <t>Contribution of Constrained Axes (CAP1–CAP3) to Microbial Community Structure in Flow Cytometry and 16S rRNA Data (PERMANOVA Results)</t>
  </si>
  <si>
    <t>Permutation Test for Homogeneity of Multivariate Dispersions (Beta Diversity) for flow cytometry and 16 S</t>
  </si>
  <si>
    <t>Flow cytometry data</t>
  </si>
  <si>
    <t>One-Way ANOVA and Permutation Test Results on Bray-Curtis and Jaccard Distances for Flow Cytometry and 16S Data (Beta-Dispersion Analysis)</t>
  </si>
  <si>
    <t>Mean Distances to Group Centroids (Beta-Dispersion) Across Sample Types Based on Bray-Curtis and Jaccard Distances</t>
  </si>
  <si>
    <t>finalDisinfection</t>
  </si>
  <si>
    <t>Chloraminated</t>
  </si>
  <si>
    <t>Chlorinated</t>
  </si>
  <si>
    <t>Chrloraminated</t>
  </si>
  <si>
    <t>RES_1_1_1</t>
  </si>
  <si>
    <t>RES_2_1_1</t>
  </si>
  <si>
    <t>COM_1_1_1</t>
  </si>
  <si>
    <t>COM_2_1_1</t>
  </si>
  <si>
    <t>HOUSE_1_1_1</t>
  </si>
  <si>
    <t>HOUSE_2_1_1</t>
  </si>
  <si>
    <t>HOUSE_3_1_1</t>
  </si>
  <si>
    <t>HOUSE_4_1_1</t>
  </si>
  <si>
    <t>RES_1_1_2</t>
  </si>
  <si>
    <t>RES_2_1_2</t>
  </si>
  <si>
    <t>RES_3_1_2</t>
  </si>
  <si>
    <t>RES_4_1_2</t>
  </si>
  <si>
    <t>RES_5_1_2</t>
  </si>
  <si>
    <t>RES_6_1_2</t>
  </si>
  <si>
    <t>COM_1_2_1</t>
  </si>
  <si>
    <t>COM_2_2_1</t>
  </si>
  <si>
    <t>HOUSE_1_2_1</t>
  </si>
  <si>
    <t>HOUSE_2_2_1</t>
  </si>
  <si>
    <t>HOUSE_3_2_1</t>
  </si>
  <si>
    <t>HOUSE_4_2_1</t>
  </si>
  <si>
    <t>RES_1_2_1</t>
  </si>
  <si>
    <t>RES_2_2_1</t>
  </si>
  <si>
    <t>RES_4_2_1</t>
  </si>
  <si>
    <t>RES_5_2_1</t>
  </si>
  <si>
    <t>RES_6_2_1</t>
  </si>
  <si>
    <t>RES_1_2_2</t>
  </si>
  <si>
    <t>RES_2_2_2</t>
  </si>
  <si>
    <t>RES_3_2_2</t>
  </si>
  <si>
    <t>RES_4_2_2</t>
  </si>
  <si>
    <t>RES_5_2_2</t>
  </si>
  <si>
    <t>RES_6_2_2</t>
  </si>
  <si>
    <t>COM_1_2_2</t>
  </si>
  <si>
    <t>COM_2_2_2</t>
  </si>
  <si>
    <t>HOUSE_1_2_2</t>
  </si>
  <si>
    <t>HOUSE_2_2_2</t>
  </si>
  <si>
    <t>HOUSE_3_2_2</t>
  </si>
  <si>
    <t>HOUSE_4_2_2</t>
  </si>
  <si>
    <t>RES_2_2_3</t>
  </si>
  <si>
    <t>RES_4_2_3</t>
  </si>
  <si>
    <t>RES_5_2_3</t>
  </si>
  <si>
    <t>RES_6_2_3</t>
  </si>
  <si>
    <t>COM_1_2_3</t>
  </si>
  <si>
    <t>HOUSE_2_2_3</t>
  </si>
  <si>
    <t>HOUSE_4_2_3</t>
  </si>
  <si>
    <t>RES_1_3_1</t>
  </si>
  <si>
    <t>RES_2_3_1</t>
  </si>
  <si>
    <t>RES_3_3_1</t>
  </si>
  <si>
    <t>RES_4_3_1</t>
  </si>
  <si>
    <t>RES_5_3_1</t>
  </si>
  <si>
    <t>RES_6_3_1</t>
  </si>
  <si>
    <t>COM_1_3_1</t>
  </si>
  <si>
    <t>COM_2_3_1</t>
  </si>
  <si>
    <t>HOUSE_1_3_1</t>
  </si>
  <si>
    <t>HOUSE_2_3_1</t>
  </si>
  <si>
    <t>HOUSE_3_3_1</t>
  </si>
  <si>
    <t>HOUSE_4_3_1</t>
  </si>
  <si>
    <t>COM_1_3_2</t>
  </si>
  <si>
    <t>COM_2_3_2</t>
  </si>
  <si>
    <t>HOUSE_1_3_2</t>
  </si>
  <si>
    <t>HOUSE_2_3_2</t>
  </si>
  <si>
    <t>HOUSE_3_3_2</t>
  </si>
  <si>
    <t>HOUSE_4_3_2</t>
  </si>
  <si>
    <t>RES_1_4_1</t>
  </si>
  <si>
    <t>RES_2_4_1</t>
  </si>
  <si>
    <t>RES_4_4_1</t>
  </si>
  <si>
    <t>RES_5_4_1</t>
  </si>
  <si>
    <t>RES_6_4_1</t>
  </si>
  <si>
    <t>HOUSE_1_4_1</t>
  </si>
  <si>
    <t>HOUSE_2_4_1</t>
  </si>
  <si>
    <t>HOUSE_3_4_1</t>
  </si>
  <si>
    <t>HOUSE_4_4_1</t>
  </si>
  <si>
    <t>RES_1_4_2</t>
  </si>
  <si>
    <t>RES_2_4_2</t>
  </si>
  <si>
    <t>RES_3_4_2</t>
  </si>
  <si>
    <t>RES_4_4_2</t>
  </si>
  <si>
    <t>RES_5_4_2</t>
  </si>
  <si>
    <t>RES_6_4_2</t>
  </si>
  <si>
    <t>COM_1_5_1</t>
  </si>
  <si>
    <t>HOUSE_1_5_1</t>
  </si>
  <si>
    <t>HOUSE_2_5_1</t>
  </si>
  <si>
    <t>HOUSE_3_5_1</t>
  </si>
  <si>
    <t>HOUSE_4_5_1</t>
  </si>
  <si>
    <t>RES_2_5_1</t>
  </si>
  <si>
    <t>RES_4_5_1</t>
  </si>
  <si>
    <t>RES_6_5_1</t>
  </si>
  <si>
    <t>COM_1_5_2</t>
  </si>
  <si>
    <t>COM_2_5_2</t>
  </si>
  <si>
    <t>HOUSE_1_5_2</t>
  </si>
  <si>
    <t>HOUSE_2_5_2</t>
  </si>
  <si>
    <t>HOUSE_3_5_2</t>
  </si>
  <si>
    <t>HOUSE_4_5_2</t>
  </si>
  <si>
    <t>RES_1_5_2</t>
  </si>
  <si>
    <t>RES_2_5_2</t>
  </si>
  <si>
    <t>RES_3_5_2</t>
  </si>
  <si>
    <t>RES_4_5_2</t>
  </si>
  <si>
    <t>RES_5_5_2</t>
  </si>
  <si>
    <t>RES_6_5_2</t>
  </si>
  <si>
    <t>COM_1_6_1</t>
  </si>
  <si>
    <t>COM_2_6_1</t>
  </si>
  <si>
    <t>HOUSE_1_6_1</t>
  </si>
  <si>
    <t>HOUSE_2_6_1</t>
  </si>
  <si>
    <t>HOUSE_3_6_1</t>
  </si>
  <si>
    <t>HOUSE_4_6_1</t>
  </si>
  <si>
    <t>RES_1_6_1</t>
  </si>
  <si>
    <t>RES_2_6_1</t>
  </si>
  <si>
    <t>RES_3_6_1</t>
  </si>
  <si>
    <t>RES_4_6_1</t>
  </si>
  <si>
    <t>RES_5_6_1</t>
  </si>
  <si>
    <t>RES_6_6_1</t>
  </si>
  <si>
    <t>COM_1_7_1</t>
  </si>
  <si>
    <t>COM_2_7_1</t>
  </si>
  <si>
    <t>HOUSE_1_7_1</t>
  </si>
  <si>
    <t>HOUSE_2_7_1</t>
  </si>
  <si>
    <t>HOUSE_3_7_1</t>
  </si>
  <si>
    <t>HOUSE_4_7_1</t>
  </si>
  <si>
    <t>RES_1_7_1</t>
  </si>
  <si>
    <t>RES_2_7_1</t>
  </si>
  <si>
    <t>RES_3_7_1</t>
  </si>
  <si>
    <t>RES_4_7_1</t>
  </si>
  <si>
    <t>RES_5_7_1</t>
  </si>
  <si>
    <t>RES_6_7_1</t>
  </si>
  <si>
    <t>COM_1_7_2</t>
  </si>
  <si>
    <t>COM_2_7_2</t>
  </si>
  <si>
    <t>HOUSE_1_7_2</t>
  </si>
  <si>
    <t>HOUSE_2_7_2</t>
  </si>
  <si>
    <t>HOUSE_3_7_2</t>
  </si>
  <si>
    <t>HOUSE_4_7_2</t>
  </si>
  <si>
    <t>RES_1_8_1</t>
  </si>
  <si>
    <t>RES_2_8_1</t>
  </si>
  <si>
    <t>RES_3_8_1</t>
  </si>
  <si>
    <t>RES_4_8_1</t>
  </si>
  <si>
    <t>RES_5_8_1</t>
  </si>
  <si>
    <t>RES_6_8_1</t>
  </si>
  <si>
    <t>COM_1_8_1</t>
  </si>
  <si>
    <t>COM_2_8_1</t>
  </si>
  <si>
    <t>HOUSE_1_8_1</t>
  </si>
  <si>
    <t>HOUSE_2_8_1</t>
  </si>
  <si>
    <t>HOUSE_3_8_1</t>
  </si>
  <si>
    <t>HOUSE_4_8_1</t>
  </si>
  <si>
    <t>RES_1_8_2</t>
  </si>
  <si>
    <t>RES_2_8_2</t>
  </si>
  <si>
    <t>RES_3_8_2</t>
  </si>
  <si>
    <t>RES_4_8_2</t>
  </si>
  <si>
    <t>RES_5_8_2</t>
  </si>
  <si>
    <t>RES_6_8_2</t>
  </si>
  <si>
    <t>COM_1_8_2</t>
  </si>
  <si>
    <t>COM_2_8_2</t>
  </si>
  <si>
    <t>HOUSE_1_8_2</t>
  </si>
  <si>
    <t>HOUSE_2_8_2</t>
  </si>
  <si>
    <t>HOUSE_3_8_2</t>
  </si>
  <si>
    <t>HOUSE_4_8_2</t>
  </si>
  <si>
    <t>RES_1_9_1</t>
  </si>
  <si>
    <t>RES_2_9_1</t>
  </si>
  <si>
    <t>RES_3_9_1</t>
  </si>
  <si>
    <t>RES_4_9_1</t>
  </si>
  <si>
    <t>RES_5_9_1</t>
  </si>
  <si>
    <t>RES_6_9_1</t>
  </si>
  <si>
    <t>ANOVA results comparing microbial comunnity structure and membership across sample types using flow cytometry and 16S data</t>
  </si>
  <si>
    <t>tcc_con_per_mL</t>
  </si>
  <si>
    <t>icc_con_per_mL</t>
  </si>
  <si>
    <t>intact_cell_prop</t>
  </si>
  <si>
    <t>Evenness</t>
  </si>
  <si>
    <t>July</t>
  </si>
  <si>
    <t>RES_3_2_1</t>
  </si>
  <si>
    <t>RES_3_2_3</t>
  </si>
  <si>
    <t>RES_1_4_3</t>
  </si>
  <si>
    <t>RES_2_4_3</t>
  </si>
  <si>
    <t>RES_3_4_3</t>
  </si>
  <si>
    <t>RES_4_4_3</t>
  </si>
  <si>
    <t>RES_5_4_3</t>
  </si>
  <si>
    <t>RES_6_4_3</t>
  </si>
  <si>
    <t>March</t>
  </si>
  <si>
    <t>Diversity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</si>
</sst>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1"/>
      <color theme="1"/>
      <name val="Aptos Narrow"/>
      <family val="2"/>
      <scheme val="minor"/>
    </font>
    <font>
      <b/>
      <sz val="14"/>
      <color theme="1"/>
      <name val="Aptos Narrow"/>
      <family val="2"/>
      <scheme val="minor"/>
    </font>
    <font>
      <sz val="10"/>
      <color rgb="FF000000"/>
      <name val="Lucida Console"/>
      <family val="3"/>
    </font>
    <font>
      <sz val="10"/>
      <color rgb="FF0000FF"/>
      <name val="Lucida Console"/>
      <family val="3"/>
    </font>
    <font>
      <b/>
      <sz val="12"/>
      <color theme="1"/>
      <name val="Aptos Narrow"/>
      <family val="2"/>
      <scheme val="minor"/>
    </font>
  </fonts>
  <fills count="3">
    <fill>
      <patternFill patternType="none"/>
    </fill>
    <fill>
      <patternFill patternType="gray125"/>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2" fontId="0" fillId="0" borderId="0" xfId="0" applyNumberFormat="1"/>
    <xf numFmtId="0" fontId="0" fillId="0" borderId="1" xfId="0" applyBorder="1"/>
    <xf numFmtId="0" fontId="2"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3" fillId="0" borderId="0" xfId="0" applyFont="1"/>
    <xf numFmtId="0" fontId="2" fillId="0" borderId="1" xfId="0" applyFont="1" applyBorder="1" applyAlignment="1">
      <alignment vertical="center" wrapText="1"/>
    </xf>
    <xf numFmtId="0" fontId="0" fillId="0" borderId="1" xfId="0" applyBorder="1" applyAlignment="1">
      <alignment horizontal="center"/>
    </xf>
    <xf numFmtId="0" fontId="0" fillId="0" borderId="0" xfId="0" applyAlignment="1">
      <alignment vertical="center"/>
    </xf>
    <xf numFmtId="0" fontId="4" fillId="0" borderId="0" xfId="0" applyFont="1" applyAlignment="1">
      <alignment vertical="center"/>
    </xf>
    <xf numFmtId="0" fontId="0" fillId="2" borderId="0" xfId="0" applyFill="1" applyAlignment="1">
      <alignment vertical="center"/>
    </xf>
    <xf numFmtId="0" fontId="4" fillId="2" borderId="0" xfId="0" applyFont="1" applyFill="1" applyAlignment="1">
      <alignment vertical="center"/>
    </xf>
    <xf numFmtId="0" fontId="0" fillId="0" borderId="0" xfId="0" applyAlignment="1">
      <alignment vertical="center" wrapText="1"/>
    </xf>
    <xf numFmtId="0" fontId="5" fillId="2" borderId="0" xfId="0" applyFont="1" applyFill="1" applyAlignment="1">
      <alignment vertical="center"/>
    </xf>
    <xf numFmtId="0" fontId="2" fillId="0" borderId="1" xfId="0" applyFont="1" applyBorder="1"/>
    <xf numFmtId="0" fontId="3" fillId="0" borderId="1" xfId="0" applyFont="1" applyBorder="1"/>
    <xf numFmtId="2" fontId="3" fillId="0" borderId="1" xfId="0" applyNumberFormat="1" applyFont="1" applyBorder="1"/>
    <xf numFmtId="14" fontId="0" fillId="0" borderId="1" xfId="0" applyNumberFormat="1" applyBorder="1"/>
    <xf numFmtId="0" fontId="4" fillId="2" borderId="1" xfId="0" applyFont="1" applyFill="1" applyBorder="1" applyAlignment="1">
      <alignment vertical="center"/>
    </xf>
    <xf numFmtId="0" fontId="0" fillId="2" borderId="1" xfId="0" applyFill="1" applyBorder="1" applyAlignment="1">
      <alignment vertical="center"/>
    </xf>
    <xf numFmtId="0" fontId="2" fillId="0" borderId="7" xfId="0" applyFont="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vertical="center" wrapText="1"/>
    </xf>
    <xf numFmtId="0" fontId="6" fillId="0" borderId="1"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left"/>
    </xf>
    <xf numFmtId="0" fontId="2" fillId="0" borderId="6" xfId="0" applyFont="1" applyBorder="1" applyAlignment="1">
      <alignment horizontal="left"/>
    </xf>
    <xf numFmtId="0" fontId="2" fillId="0" borderId="7" xfId="0" applyFont="1" applyBorder="1" applyAlignment="1">
      <alignment horizontal="left"/>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266699</xdr:colOff>
      <xdr:row>9</xdr:row>
      <xdr:rowOff>95250</xdr:rowOff>
    </xdr:from>
    <xdr:to>
      <xdr:col>17</xdr:col>
      <xdr:colOff>581024</xdr:colOff>
      <xdr:row>13</xdr:row>
      <xdr:rowOff>66675</xdr:rowOff>
    </xdr:to>
    <xdr:sp macro="" textlink="">
      <xdr:nvSpPr>
        <xdr:cNvPr id="2" name="TextBox 1">
          <a:extLst>
            <a:ext uri="{FF2B5EF4-FFF2-40B4-BE49-F238E27FC236}">
              <a16:creationId xmlns:a16="http://schemas.microsoft.com/office/drawing/2014/main" id="{8A272FFB-C597-2CBA-1BEA-F58C8CDC8A93}"/>
            </a:ext>
          </a:extLst>
        </xdr:cNvPr>
        <xdr:cNvSpPr txBox="1"/>
      </xdr:nvSpPr>
      <xdr:spPr>
        <a:xfrm>
          <a:off x="266699" y="2247900"/>
          <a:ext cx="12982575" cy="73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summarizes the results of PERMANOVA (Permutational Multivariate Analysis of Variance) tests assessing differences in microbial community composition among three sample types (</a:t>
          </a:r>
          <a:r>
            <a:rPr lang="en-ZA" b="1"/>
            <a:t>Building</a:t>
          </a:r>
          <a:r>
            <a:rPr lang="en-ZA"/>
            <a:t>, </a:t>
          </a:r>
          <a:r>
            <a:rPr lang="en-ZA" b="1"/>
            <a:t>Household</a:t>
          </a:r>
          <a:r>
            <a:rPr lang="en-ZA"/>
            <a:t>, and </a:t>
          </a:r>
          <a:r>
            <a:rPr lang="en-ZA" b="1"/>
            <a:t>Reservoir</a:t>
          </a:r>
          <a:r>
            <a:rPr lang="en-ZA"/>
            <a:t>) using </a:t>
          </a:r>
          <a:r>
            <a:rPr lang="en-ZA" b="1"/>
            <a:t>Bray-Curtis</a:t>
          </a:r>
          <a:r>
            <a:rPr lang="en-ZA"/>
            <a:t> and </a:t>
          </a:r>
          <a:r>
            <a:rPr lang="en-ZA" b="1"/>
            <a:t>Jaccard</a:t>
          </a:r>
          <a:r>
            <a:rPr lang="en-ZA"/>
            <a:t> distance metrics. Analyses were conducted separately for </a:t>
          </a:r>
          <a:r>
            <a:rPr lang="en-ZA" b="1"/>
            <a:t>flow cytometry</a:t>
          </a:r>
          <a:r>
            <a:rPr lang="en-ZA"/>
            <a:t> and </a:t>
          </a:r>
          <a:r>
            <a:rPr lang="en-ZA" b="1"/>
            <a:t>16S rRNA gene sequencing</a:t>
          </a:r>
          <a:r>
            <a:rPr lang="en-ZA"/>
            <a:t> data. For each test, the degrees of freedom (Df), sum of squares (Sum Sq), proportion of variance explained (R²), F statistic, p-value (Pr(&gt;F)), and significance level are reported.</a:t>
          </a:r>
        </a:p>
        <a:p>
          <a:endParaRPr lang="en-ZA" sz="1100"/>
        </a:p>
      </xdr:txBody>
    </xdr:sp>
    <xdr:clientData/>
  </xdr:twoCellAnchor>
  <xdr:twoCellAnchor>
    <xdr:from>
      <xdr:col>0</xdr:col>
      <xdr:colOff>304800</xdr:colOff>
      <xdr:row>24</xdr:row>
      <xdr:rowOff>114300</xdr:rowOff>
    </xdr:from>
    <xdr:to>
      <xdr:col>18</xdr:col>
      <xdr:colOff>133350</xdr:colOff>
      <xdr:row>29</xdr:row>
      <xdr:rowOff>9525</xdr:rowOff>
    </xdr:to>
    <xdr:sp macro="" textlink="">
      <xdr:nvSpPr>
        <xdr:cNvPr id="3" name="TextBox 2">
          <a:extLst>
            <a:ext uri="{FF2B5EF4-FFF2-40B4-BE49-F238E27FC236}">
              <a16:creationId xmlns:a16="http://schemas.microsoft.com/office/drawing/2014/main" id="{3CB4265E-27D3-03CC-D2C4-CC83507B0507}"/>
            </a:ext>
          </a:extLst>
        </xdr:cNvPr>
        <xdr:cNvSpPr txBox="1"/>
      </xdr:nvSpPr>
      <xdr:spPr>
        <a:xfrm>
          <a:off x="304800" y="5562600"/>
          <a:ext cx="13106400"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presents the results of one-way ANOVA tests evaluating differences in microbial community dissimilarity among sample types (</a:t>
          </a:r>
          <a:r>
            <a:rPr lang="en-ZA" b="1"/>
            <a:t>Building</a:t>
          </a:r>
          <a:r>
            <a:rPr lang="en-ZA"/>
            <a:t>, </a:t>
          </a:r>
          <a:r>
            <a:rPr lang="en-ZA" b="1"/>
            <a:t>Household</a:t>
          </a:r>
          <a:r>
            <a:rPr lang="en-ZA"/>
            <a:t>, and </a:t>
          </a:r>
          <a:r>
            <a:rPr lang="en-ZA" b="1"/>
            <a:t>Reservoir</a:t>
          </a:r>
          <a:r>
            <a:rPr lang="en-ZA"/>
            <a:t>) based on </a:t>
          </a:r>
          <a:r>
            <a:rPr lang="en-ZA" b="1"/>
            <a:t>Bray-Curtis</a:t>
          </a:r>
          <a:r>
            <a:rPr lang="en-ZA"/>
            <a:t> and </a:t>
          </a:r>
          <a:r>
            <a:rPr lang="en-ZA" b="1"/>
            <a:t>Jaccard</a:t>
          </a:r>
          <a:r>
            <a:rPr lang="en-ZA"/>
            <a:t> metrics. Analyses were performed separately using </a:t>
          </a:r>
          <a:r>
            <a:rPr lang="en-ZA" b="1"/>
            <a:t>flow cytometry</a:t>
          </a:r>
          <a:r>
            <a:rPr lang="en-ZA"/>
            <a:t> and </a:t>
          </a:r>
          <a:r>
            <a:rPr lang="en-ZA" b="1"/>
            <a:t>16S rRNA gene sequencing</a:t>
          </a:r>
          <a:r>
            <a:rPr lang="en-ZA"/>
            <a:t> data. For each model, the degrees of freedom (Df), sum of squares (Sum Sq), mean square (Mean Sq), F value, p-value (Pr(&gt;F)), and significance level are reported.</a:t>
          </a:r>
        </a:p>
        <a:p>
          <a:endParaRPr lang="en-ZA" sz="1100"/>
        </a:p>
      </xdr:txBody>
    </xdr:sp>
    <xdr:clientData/>
  </xdr:twoCellAnchor>
  <xdr:twoCellAnchor>
    <xdr:from>
      <xdr:col>0</xdr:col>
      <xdr:colOff>161925</xdr:colOff>
      <xdr:row>40</xdr:row>
      <xdr:rowOff>57150</xdr:rowOff>
    </xdr:from>
    <xdr:to>
      <xdr:col>16</xdr:col>
      <xdr:colOff>66675</xdr:colOff>
      <xdr:row>44</xdr:row>
      <xdr:rowOff>38100</xdr:rowOff>
    </xdr:to>
    <xdr:sp macro="" textlink="">
      <xdr:nvSpPr>
        <xdr:cNvPr id="6" name="TextBox 5">
          <a:extLst>
            <a:ext uri="{FF2B5EF4-FFF2-40B4-BE49-F238E27FC236}">
              <a16:creationId xmlns:a16="http://schemas.microsoft.com/office/drawing/2014/main" id="{75D83F54-143D-4BDD-BAB0-9EFB7CC98241}"/>
            </a:ext>
          </a:extLst>
        </xdr:cNvPr>
        <xdr:cNvSpPr txBox="1"/>
      </xdr:nvSpPr>
      <xdr:spPr>
        <a:xfrm>
          <a:off x="161925" y="12992100"/>
          <a:ext cx="1196340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presents the results of </a:t>
          </a:r>
          <a:r>
            <a:rPr lang="en-ZA" b="1"/>
            <a:t>Tukey's Honest Significant Difference (HSD)</a:t>
          </a:r>
          <a:r>
            <a:rPr lang="en-ZA"/>
            <a:t> post-hoc tests following ANOVA analyses to determine pairwise differences in microbial community dissimilarity among sample types (</a:t>
          </a:r>
          <a:r>
            <a:rPr lang="en-ZA" b="1"/>
            <a:t>Building</a:t>
          </a:r>
          <a:r>
            <a:rPr lang="en-ZA"/>
            <a:t>, </a:t>
          </a:r>
          <a:r>
            <a:rPr lang="en-ZA" b="1"/>
            <a:t>Household</a:t>
          </a:r>
          <a:r>
            <a:rPr lang="en-ZA"/>
            <a:t>, and </a:t>
          </a:r>
          <a:r>
            <a:rPr lang="en-ZA" b="1"/>
            <a:t>Reservoir</a:t>
          </a:r>
          <a:r>
            <a:rPr lang="en-ZA"/>
            <a:t>). Analyses were performed using </a:t>
          </a:r>
          <a:r>
            <a:rPr lang="en-ZA" b="1"/>
            <a:t>Bray-Curtis</a:t>
          </a:r>
          <a:r>
            <a:rPr lang="en-ZA"/>
            <a:t> and </a:t>
          </a:r>
          <a:r>
            <a:rPr lang="en-ZA" b="1"/>
            <a:t>Jaccard</a:t>
          </a:r>
          <a:r>
            <a:rPr lang="en-ZA"/>
            <a:t> distance metrics for both </a:t>
          </a:r>
          <a:r>
            <a:rPr lang="en-ZA" b="1"/>
            <a:t>flow cytometry</a:t>
          </a:r>
          <a:r>
            <a:rPr lang="en-ZA"/>
            <a:t> and </a:t>
          </a:r>
          <a:r>
            <a:rPr lang="en-ZA" b="1"/>
            <a:t>16S rRNA gene sequencing</a:t>
          </a:r>
          <a:r>
            <a:rPr lang="en-ZA"/>
            <a:t> data. Reported for each comparison are the difference in means (Diff), the 95% confidence interval bounds (Lower CI and Upper CI), and the adjusted p-value for multiple comparisons.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10</xdr:row>
      <xdr:rowOff>133350</xdr:rowOff>
    </xdr:from>
    <xdr:to>
      <xdr:col>9</xdr:col>
      <xdr:colOff>485775</xdr:colOff>
      <xdr:row>14</xdr:row>
      <xdr:rowOff>180975</xdr:rowOff>
    </xdr:to>
    <xdr:sp macro="" textlink="">
      <xdr:nvSpPr>
        <xdr:cNvPr id="2" name="TextBox 1">
          <a:extLst>
            <a:ext uri="{FF2B5EF4-FFF2-40B4-BE49-F238E27FC236}">
              <a16:creationId xmlns:a16="http://schemas.microsoft.com/office/drawing/2014/main" id="{6DA1B98A-222C-2D75-2B26-01C55638A9F6}"/>
            </a:ext>
          </a:extLst>
        </xdr:cNvPr>
        <xdr:cNvSpPr txBox="1"/>
      </xdr:nvSpPr>
      <xdr:spPr>
        <a:xfrm>
          <a:off x="114300" y="2095500"/>
          <a:ext cx="7410450"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summarizes pairwise dissimilarity metrics between sample types (Building, Household, and Reservoir) based on microbial community profiles obtained via flow cytometry and 16S rRNA gene sequencing. Two ecological distance measures were used: </a:t>
          </a:r>
          <a:r>
            <a:rPr lang="en-ZA" b="1"/>
            <a:t>Bray-Curtis</a:t>
          </a:r>
          <a:r>
            <a:rPr lang="en-ZA"/>
            <a:t>, which accounts for abundance differences, and </a:t>
          </a:r>
          <a:r>
            <a:rPr lang="en-ZA" b="1"/>
            <a:t>Jaccard</a:t>
          </a:r>
          <a:r>
            <a:rPr lang="en-ZA"/>
            <a:t>, which focuses on presence/absence data. For each comparison, the mean, standard deviation (SD), minimum (Min), and maximum (Max) dissimilarity values are reported.</a:t>
          </a:r>
        </a:p>
        <a:p>
          <a:r>
            <a:rPr lang="en-ZA"/>
            <a:t>.</a:t>
          </a:r>
          <a:endParaRPr lang="en-ZA"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16</xdr:row>
      <xdr:rowOff>152400</xdr:rowOff>
    </xdr:from>
    <xdr:to>
      <xdr:col>8</xdr:col>
      <xdr:colOff>57150</xdr:colOff>
      <xdr:row>20</xdr:row>
      <xdr:rowOff>171450</xdr:rowOff>
    </xdr:to>
    <xdr:sp macro="" textlink="">
      <xdr:nvSpPr>
        <xdr:cNvPr id="4" name="TextBox 3">
          <a:extLst>
            <a:ext uri="{FF2B5EF4-FFF2-40B4-BE49-F238E27FC236}">
              <a16:creationId xmlns:a16="http://schemas.microsoft.com/office/drawing/2014/main" id="{0F4EC1C9-F963-65C0-27ED-6E8F00B64A8A}"/>
            </a:ext>
          </a:extLst>
        </xdr:cNvPr>
        <xdr:cNvSpPr txBox="1"/>
      </xdr:nvSpPr>
      <xdr:spPr>
        <a:xfrm>
          <a:off x="171450" y="3638550"/>
          <a:ext cx="972502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presents results from PERMANOVA (Permutational Multivariate Analysis of Variance) tests evaluating the influence of </a:t>
          </a:r>
          <a:r>
            <a:rPr lang="en-ZA" b="1"/>
            <a:t>location</a:t>
          </a:r>
          <a:r>
            <a:rPr lang="en-ZA"/>
            <a:t> and </a:t>
          </a:r>
          <a:r>
            <a:rPr lang="en-ZA" b="1"/>
            <a:t>month</a:t>
          </a:r>
          <a:r>
            <a:rPr lang="en-ZA"/>
            <a:t> on microbial community composition at three site types—Reservoir, Household, and Commercial Building—using </a:t>
          </a:r>
          <a:r>
            <a:rPr lang="en-ZA" b="1"/>
            <a:t>Bray-Curtis</a:t>
          </a:r>
          <a:r>
            <a:rPr lang="en-ZA"/>
            <a:t> and </a:t>
          </a:r>
          <a:r>
            <a:rPr lang="en-ZA" b="1"/>
            <a:t>Jaccard</a:t>
          </a:r>
          <a:r>
            <a:rPr lang="en-ZA"/>
            <a:t> distance metrics. Analyses were performed separately on flow cytometry and 16S rRNA gene sequencing data. For each factor and dataset, degrees of freedom (Df), sum of squares (SS), proportion of variance explained (R²), F-statistic, p-value (Pr(&gt;F)), and significance level are reported.</a:t>
          </a:r>
        </a:p>
        <a:p>
          <a:endParaRPr lang="en-Z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8</xdr:row>
      <xdr:rowOff>85725</xdr:rowOff>
    </xdr:from>
    <xdr:to>
      <xdr:col>18</xdr:col>
      <xdr:colOff>180975</xdr:colOff>
      <xdr:row>20</xdr:row>
      <xdr:rowOff>57150</xdr:rowOff>
    </xdr:to>
    <xdr:sp macro="" textlink="">
      <xdr:nvSpPr>
        <xdr:cNvPr id="2" name="TextBox 1">
          <a:extLst>
            <a:ext uri="{FF2B5EF4-FFF2-40B4-BE49-F238E27FC236}">
              <a16:creationId xmlns:a16="http://schemas.microsoft.com/office/drawing/2014/main" id="{D0D3E774-F4B2-5A54-3C25-DAF95031A0C8}"/>
            </a:ext>
          </a:extLst>
        </xdr:cNvPr>
        <xdr:cNvSpPr txBox="1"/>
      </xdr:nvSpPr>
      <xdr:spPr>
        <a:xfrm>
          <a:off x="85725" y="2085975"/>
          <a:ext cx="12496800" cy="2257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presents the results of </a:t>
          </a:r>
          <a:r>
            <a:rPr lang="en-ZA" b="1"/>
            <a:t>PERMANOVA</a:t>
          </a:r>
          <a:r>
            <a:rPr lang="en-ZA"/>
            <a:t> testing to assess the overall influence of three water quality parameters—</a:t>
          </a:r>
          <a:r>
            <a:rPr lang="en-ZA" b="1"/>
            <a:t>pH</a:t>
          </a:r>
          <a:r>
            <a:rPr lang="en-ZA"/>
            <a:t>, </a:t>
          </a:r>
          <a:r>
            <a:rPr lang="en-ZA" b="1"/>
            <a:t>free chlorine</a:t>
          </a:r>
          <a:r>
            <a:rPr lang="en-ZA"/>
            <a:t>, and </a:t>
          </a:r>
          <a:r>
            <a:rPr lang="en-ZA" b="1"/>
            <a:t>total chlorine</a:t>
          </a:r>
          <a:r>
            <a:rPr lang="en-ZA"/>
            <a:t>—on microbial community composition. Analyses were conducted using </a:t>
          </a:r>
          <a:r>
            <a:rPr lang="en-ZA" b="1"/>
            <a:t>Bray-Curtis</a:t>
          </a:r>
          <a:r>
            <a:rPr lang="en-ZA"/>
            <a:t> and </a:t>
          </a:r>
          <a:r>
            <a:rPr lang="en-ZA" b="1"/>
            <a:t>Jaccard</a:t>
          </a:r>
          <a:r>
            <a:rPr lang="en-ZA"/>
            <a:t> distance metrics on both </a:t>
          </a:r>
          <a:r>
            <a:rPr lang="en-ZA" b="1"/>
            <a:t>flow cytometry</a:t>
          </a:r>
          <a:r>
            <a:rPr lang="en-ZA"/>
            <a:t> and </a:t>
          </a:r>
          <a:r>
            <a:rPr lang="en-ZA" b="1"/>
            <a:t>16S rRNA gene sequencing</a:t>
          </a:r>
          <a:r>
            <a:rPr lang="en-ZA"/>
            <a:t> data. For each model, degrees of freedom (Df), sum of squares (Sum Sq), F-statistic, p-value (Pr(&gt;F)), and significance level are reported.</a:t>
          </a:r>
        </a:p>
        <a:p>
          <a:r>
            <a:rPr lang="en-ZA" b="1"/>
            <a:t>Results Summary:</a:t>
          </a:r>
          <a:endParaRPr lang="en-ZA"/>
        </a:p>
        <a:p>
          <a:r>
            <a:rPr lang="en-ZA"/>
            <a:t>All models yielded </a:t>
          </a:r>
          <a:r>
            <a:rPr lang="en-ZA" b="1"/>
            <a:t>highly significant results</a:t>
          </a:r>
          <a:r>
            <a:rPr lang="en-ZA"/>
            <a:t> (p = 0.001), indicating that the combination of pH, free chlorine, and total chlorine significantly influences microbial community structure.</a:t>
          </a:r>
        </a:p>
        <a:p>
          <a:r>
            <a:rPr lang="en-ZA"/>
            <a:t>In </a:t>
          </a:r>
          <a:r>
            <a:rPr lang="en-ZA" b="1"/>
            <a:t>flow cytometry data</a:t>
          </a:r>
          <a:r>
            <a:rPr lang="en-ZA"/>
            <a:t>, Jaccard distances produced a higher F-statistic (F = 3.16) than Bray-Curtis (F = 2.68), suggesting slightly stronger differentiation in presence/absence-based community structure due to water chemistry.</a:t>
          </a:r>
        </a:p>
        <a:p>
          <a:r>
            <a:rPr lang="en-ZA"/>
            <a:t>In </a:t>
          </a:r>
          <a:r>
            <a:rPr lang="en-ZA" b="1"/>
            <a:t>16S rRNA data</a:t>
          </a:r>
          <a:r>
            <a:rPr lang="en-ZA"/>
            <a:t>, both distance metrics confirmed significant effects, with Bray-Curtis (F = 2.58) showing stronger signal than Jaccard (F = 2.19), pointing to changes in relative taxonomic abundance patterns in response to water chemistry.</a:t>
          </a:r>
        </a:p>
        <a:p>
          <a:r>
            <a:rPr lang="en-ZA"/>
            <a:t>The total variance explained by the model (Sum Sq) was generally greater in 16S data (Sum Sq = 3.455 for Bray-Curtis) than in flow cytometry, implying that microbial taxa profiles may be more sensitive to physicochemical variation than cell-level traits.</a:t>
          </a:r>
        </a:p>
        <a:p>
          <a:r>
            <a:rPr lang="en-ZA"/>
            <a:t>These results highlight that core water quality parameters are important drivers of microbial community dynamics in drinking water systems and that both cell-level and taxonomic methods can detect these environmental effects.</a:t>
          </a:r>
        </a:p>
        <a:p>
          <a:endParaRPr lang="en-ZA"/>
        </a:p>
      </xdr:txBody>
    </xdr:sp>
    <xdr:clientData/>
  </xdr:twoCellAnchor>
  <xdr:twoCellAnchor>
    <xdr:from>
      <xdr:col>0</xdr:col>
      <xdr:colOff>180975</xdr:colOff>
      <xdr:row>35</xdr:row>
      <xdr:rowOff>57150</xdr:rowOff>
    </xdr:from>
    <xdr:to>
      <xdr:col>18</xdr:col>
      <xdr:colOff>333375</xdr:colOff>
      <xdr:row>49</xdr:row>
      <xdr:rowOff>85725</xdr:rowOff>
    </xdr:to>
    <xdr:sp macro="" textlink="">
      <xdr:nvSpPr>
        <xdr:cNvPr id="3" name="TextBox 2">
          <a:extLst>
            <a:ext uri="{FF2B5EF4-FFF2-40B4-BE49-F238E27FC236}">
              <a16:creationId xmlns:a16="http://schemas.microsoft.com/office/drawing/2014/main" id="{2FBBFCD1-3FC6-C658-13CD-80874C9A8927}"/>
            </a:ext>
          </a:extLst>
        </xdr:cNvPr>
        <xdr:cNvSpPr txBox="1"/>
      </xdr:nvSpPr>
      <xdr:spPr>
        <a:xfrm>
          <a:off x="180975" y="7677150"/>
          <a:ext cx="12553950" cy="2695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reports the results of </a:t>
          </a:r>
          <a:r>
            <a:rPr lang="en-ZA" b="1"/>
            <a:t>PERMANOVA</a:t>
          </a:r>
          <a:r>
            <a:rPr lang="en-ZA"/>
            <a:t> models assessing the independent contribution of each water quality parameter—</a:t>
          </a:r>
          <a:r>
            <a:rPr lang="en-ZA" b="1"/>
            <a:t>free chlorine</a:t>
          </a:r>
          <a:r>
            <a:rPr lang="en-ZA"/>
            <a:t>, </a:t>
          </a:r>
          <a:r>
            <a:rPr lang="en-ZA" b="1"/>
            <a:t>total chlorine</a:t>
          </a:r>
          <a:r>
            <a:rPr lang="en-ZA"/>
            <a:t>, and </a:t>
          </a:r>
          <a:r>
            <a:rPr lang="en-ZA" b="1"/>
            <a:t>pH</a:t>
          </a:r>
          <a:r>
            <a:rPr lang="en-ZA"/>
            <a:t>—to microbial community composition. Analyses were conducted separately using </a:t>
          </a:r>
          <a:r>
            <a:rPr lang="en-ZA" b="1"/>
            <a:t>Bray-Curtis</a:t>
          </a:r>
          <a:r>
            <a:rPr lang="en-ZA"/>
            <a:t> and </a:t>
          </a:r>
          <a:r>
            <a:rPr lang="en-ZA" b="1"/>
            <a:t>Jaccard</a:t>
          </a:r>
          <a:r>
            <a:rPr lang="en-ZA"/>
            <a:t> distance metrics for both </a:t>
          </a:r>
          <a:r>
            <a:rPr lang="en-ZA" b="1"/>
            <a:t>flow cytometry</a:t>
          </a:r>
          <a:r>
            <a:rPr lang="en-ZA"/>
            <a:t> and </a:t>
          </a:r>
          <a:r>
            <a:rPr lang="en-ZA" b="1"/>
            <a:t>16S rRNA gene sequencing</a:t>
          </a:r>
          <a:r>
            <a:rPr lang="en-ZA"/>
            <a:t> datasets. For each variable, degrees of freedom (Df), sum of squares (Sum Sq), F-statistic (F), p-value (Pr(&gt;F)), and significance level are presented.</a:t>
          </a:r>
        </a:p>
        <a:p>
          <a:r>
            <a:rPr lang="en-ZA" b="1"/>
            <a:t>Results Summary:</a:t>
          </a:r>
          <a:endParaRPr lang="en-ZA"/>
        </a:p>
        <a:p>
          <a:r>
            <a:rPr lang="en-ZA"/>
            <a:t>All three water quality parameters significantly influenced microbial community structure across both datasets and distance metrics, although the </a:t>
          </a:r>
          <a:r>
            <a:rPr lang="en-ZA" b="1"/>
            <a:t>strength of association varied</a:t>
          </a:r>
          <a:r>
            <a:rPr lang="en-ZA"/>
            <a:t> by parameter and method.</a:t>
          </a:r>
        </a:p>
        <a:p>
          <a:r>
            <a:rPr lang="en-ZA"/>
            <a:t>In </a:t>
          </a:r>
          <a:r>
            <a:rPr lang="en-ZA" b="1"/>
            <a:t>flow cytometry data</a:t>
          </a:r>
          <a:r>
            <a:rPr lang="en-ZA"/>
            <a:t>:</a:t>
          </a:r>
        </a:p>
        <a:p>
          <a:pPr lvl="1"/>
          <a:r>
            <a:rPr lang="en-ZA" b="1"/>
            <a:t>pH</a:t>
          </a:r>
          <a:r>
            <a:rPr lang="en-ZA"/>
            <a:t> showed the strongest influence (F = 3.08 for Bray-Curtis, p = 0.001), followed by </a:t>
          </a:r>
          <a:r>
            <a:rPr lang="en-ZA" b="1"/>
            <a:t>total chlorine</a:t>
          </a:r>
          <a:r>
            <a:rPr lang="en-ZA"/>
            <a:t> and </a:t>
          </a:r>
          <a:r>
            <a:rPr lang="en-ZA" b="1"/>
            <a:t>free chlorine</a:t>
          </a:r>
          <a:r>
            <a:rPr lang="en-ZA"/>
            <a:t>.</a:t>
          </a:r>
        </a:p>
        <a:p>
          <a:pPr lvl="1"/>
          <a:r>
            <a:rPr lang="en-ZA" b="1"/>
            <a:t>Jaccard</a:t>
          </a:r>
          <a:r>
            <a:rPr lang="en-ZA"/>
            <a:t> distances yielded similar significance patterns, with pH again being the most influential.</a:t>
          </a:r>
        </a:p>
        <a:p>
          <a:r>
            <a:rPr lang="en-ZA"/>
            <a:t>In </a:t>
          </a:r>
          <a:r>
            <a:rPr lang="en-ZA" b="1"/>
            <a:t>16S rRNA data</a:t>
          </a:r>
          <a:r>
            <a:rPr lang="en-ZA"/>
            <a:t>:</a:t>
          </a:r>
        </a:p>
        <a:p>
          <a:pPr lvl="1"/>
          <a:r>
            <a:rPr lang="en-ZA" b="1"/>
            <a:t>Total chlorine</a:t>
          </a:r>
          <a:r>
            <a:rPr lang="en-ZA"/>
            <a:t> exhibited the strongest and most consistent effect (F = 3.60 for Bray-Curtis, F = 2.94 for Jaccard, both p = 0.001), indicating that shifts in chlorine residuals are closely linked with changes in microbial taxonomic profiles.</a:t>
          </a:r>
        </a:p>
        <a:p>
          <a:pPr lvl="1"/>
          <a:r>
            <a:rPr lang="en-ZA" b="1"/>
            <a:t>pH</a:t>
          </a:r>
          <a:r>
            <a:rPr lang="en-ZA"/>
            <a:t> had a weaker, though still significant, effect (p &lt; 0.05), suggesting its role may be more nuanced or interactive with other factors.</a:t>
          </a:r>
        </a:p>
        <a:p>
          <a:r>
            <a:rPr lang="en-ZA"/>
            <a:t>Across both methodologies, </a:t>
          </a:r>
          <a:r>
            <a:rPr lang="en-ZA" b="1"/>
            <a:t>Bray-Curtis distances</a:t>
          </a:r>
          <a:r>
            <a:rPr lang="en-ZA"/>
            <a:t> (which account for relative abundance) often showed stronger F-values than </a:t>
          </a:r>
          <a:r>
            <a:rPr lang="en-ZA" b="1"/>
            <a:t>Jaccard</a:t>
          </a:r>
          <a:r>
            <a:rPr lang="en-ZA"/>
            <a:t> distances (presence/absence), highlighting that water quality not only affects which taxa or cells are present but also their proportions.</a:t>
          </a:r>
        </a:p>
        <a:p>
          <a:r>
            <a:rPr lang="en-ZA"/>
            <a:t>These findings underscore the importance of water chemistry in shaping microbial communities in drinking water systems and demonstrate that both flow cytometry and 16S rRNA sequencing can detect these environmental effects, albeit with slightly different sensitivities.</a:t>
          </a:r>
        </a:p>
        <a:p>
          <a:endParaRPr lang="en-ZA" sz="1100"/>
        </a:p>
      </xdr:txBody>
    </xdr:sp>
    <xdr:clientData/>
  </xdr:twoCellAnchor>
  <xdr:twoCellAnchor>
    <xdr:from>
      <xdr:col>0</xdr:col>
      <xdr:colOff>142875</xdr:colOff>
      <xdr:row>60</xdr:row>
      <xdr:rowOff>85725</xdr:rowOff>
    </xdr:from>
    <xdr:to>
      <xdr:col>17</xdr:col>
      <xdr:colOff>466725</xdr:colOff>
      <xdr:row>65</xdr:row>
      <xdr:rowOff>114300</xdr:rowOff>
    </xdr:to>
    <xdr:sp macro="" textlink="">
      <xdr:nvSpPr>
        <xdr:cNvPr id="4" name="TextBox 3">
          <a:extLst>
            <a:ext uri="{FF2B5EF4-FFF2-40B4-BE49-F238E27FC236}">
              <a16:creationId xmlns:a16="http://schemas.microsoft.com/office/drawing/2014/main" id="{E84076D4-8270-0A54-F221-3D65679B5FFF}"/>
            </a:ext>
          </a:extLst>
        </xdr:cNvPr>
        <xdr:cNvSpPr txBox="1"/>
      </xdr:nvSpPr>
      <xdr:spPr>
        <a:xfrm>
          <a:off x="142875" y="12944475"/>
          <a:ext cx="12115800"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b="1"/>
            <a:t>PERMANOVA Results for Canonical Axes from Distance-Based Redundancy Analysis (dbRDA) on Flow Cytometry and 16S rRNA Data</a:t>
          </a:r>
          <a:endParaRPr lang="en-ZA"/>
        </a:p>
        <a:p>
          <a:r>
            <a:rPr lang="en-ZA"/>
            <a:t>This table presents the results of </a:t>
          </a:r>
          <a:r>
            <a:rPr lang="en-ZA" b="1"/>
            <a:t>PERMANOVA models</a:t>
          </a:r>
          <a:r>
            <a:rPr lang="en-ZA"/>
            <a:t> using the first three canonical axes (</a:t>
          </a:r>
          <a:r>
            <a:rPr lang="en-ZA" b="1"/>
            <a:t>CAP1, CAP2, and CAP3</a:t>
          </a:r>
          <a:r>
            <a:rPr lang="en-ZA"/>
            <a:t>) derived from a distance-based redundancy analysis (dbRDA). These axes represent major gradients in microbial community variation explained by environmental factors. Analyses were conducted for both </a:t>
          </a:r>
          <a:r>
            <a:rPr lang="en-ZA" b="1"/>
            <a:t>flow cytometry</a:t>
          </a:r>
          <a:r>
            <a:rPr lang="en-ZA"/>
            <a:t> and </a:t>
          </a:r>
          <a:r>
            <a:rPr lang="en-ZA" b="1"/>
            <a:t>16S rRNA gene sequencing</a:t>
          </a:r>
          <a:r>
            <a:rPr lang="en-ZA"/>
            <a:t> data using </a:t>
          </a:r>
          <a:r>
            <a:rPr lang="en-ZA" b="1"/>
            <a:t>Bray-Curtis</a:t>
          </a:r>
          <a:r>
            <a:rPr lang="en-ZA"/>
            <a:t> and </a:t>
          </a:r>
          <a:r>
            <a:rPr lang="en-ZA" b="1"/>
            <a:t>Jaccard</a:t>
          </a:r>
          <a:r>
            <a:rPr lang="en-ZA"/>
            <a:t> distance metrics. Each model includes degrees of freedom (Df), sum of squares (Sum Sq), F-statistic (F), p-value (Pr(&gt;F)), and significance level.</a:t>
          </a:r>
        </a:p>
        <a:p>
          <a:endParaRPr lang="en-ZA"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228600</xdr:colOff>
      <xdr:row>14</xdr:row>
      <xdr:rowOff>152400</xdr:rowOff>
    </xdr:from>
    <xdr:to>
      <xdr:col>23</xdr:col>
      <xdr:colOff>428625</xdr:colOff>
      <xdr:row>19</xdr:row>
      <xdr:rowOff>142875</xdr:rowOff>
    </xdr:to>
    <xdr:sp macro="" textlink="">
      <xdr:nvSpPr>
        <xdr:cNvPr id="2" name="TextBox 1">
          <a:extLst>
            <a:ext uri="{FF2B5EF4-FFF2-40B4-BE49-F238E27FC236}">
              <a16:creationId xmlns:a16="http://schemas.microsoft.com/office/drawing/2014/main" id="{2C683E20-6453-C129-1B46-F7F5717CAE46}"/>
            </a:ext>
          </a:extLst>
        </xdr:cNvPr>
        <xdr:cNvSpPr txBox="1"/>
      </xdr:nvSpPr>
      <xdr:spPr>
        <a:xfrm>
          <a:off x="228600" y="4448175"/>
          <a:ext cx="17592675"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presents the results of </a:t>
          </a:r>
          <a:r>
            <a:rPr lang="en-ZA" b="1"/>
            <a:t>one-way ANOVA</a:t>
          </a:r>
          <a:r>
            <a:rPr lang="en-ZA"/>
            <a:t> and </a:t>
          </a:r>
          <a:r>
            <a:rPr lang="en-ZA" b="1"/>
            <a:t>permutation-based ANOVA</a:t>
          </a:r>
          <a:r>
            <a:rPr lang="en-ZA"/>
            <a:t> (PERMANOVA) tests performed on </a:t>
          </a:r>
          <a:r>
            <a:rPr lang="en-ZA" b="1"/>
            <a:t>Bray-Curtis</a:t>
          </a:r>
          <a:r>
            <a:rPr lang="en-ZA"/>
            <a:t> and </a:t>
          </a:r>
          <a:r>
            <a:rPr lang="en-ZA" b="1"/>
            <a:t>Jaccard</a:t>
          </a:r>
          <a:r>
            <a:rPr lang="en-ZA"/>
            <a:t> distance matrices to assess </a:t>
          </a:r>
          <a:r>
            <a:rPr lang="en-ZA" b="1"/>
            <a:t>beta-dispersion</a:t>
          </a:r>
          <a:r>
            <a:rPr lang="en-ZA"/>
            <a:t> (i.e., within-group variability) for both </a:t>
          </a:r>
          <a:r>
            <a:rPr lang="en-ZA" b="1"/>
            <a:t>flow cytometry</a:t>
          </a:r>
          <a:r>
            <a:rPr lang="en-ZA"/>
            <a:t> and </a:t>
          </a:r>
          <a:r>
            <a:rPr lang="en-ZA" b="1"/>
            <a:t>16S rRNA gene sequencing</a:t>
          </a:r>
          <a:r>
            <a:rPr lang="en-ZA"/>
            <a:t> data. The statistical models test whether the </a:t>
          </a:r>
          <a:r>
            <a:rPr lang="en-ZA" b="1"/>
            <a:t>dispersion (variance) of community structure differs across sample groups</a:t>
          </a:r>
          <a:r>
            <a:rPr lang="en-ZA"/>
            <a:t>, not the differences in group centroids.</a:t>
          </a:r>
        </a:p>
        <a:p>
          <a:r>
            <a:rPr lang="en-ZA"/>
            <a:t>Each test reports degrees of freedom (Df), sum of squares (Sum Sq), R² (for PERMANOVA), F-statistic, p-value (Pr(&gt;F)), and the associated significance level.</a:t>
          </a:r>
        </a:p>
        <a:p>
          <a:endParaRPr lang="en-ZA" sz="1100"/>
        </a:p>
      </xdr:txBody>
    </xdr:sp>
    <xdr:clientData/>
  </xdr:twoCellAnchor>
  <xdr:twoCellAnchor>
    <xdr:from>
      <xdr:col>0</xdr:col>
      <xdr:colOff>123825</xdr:colOff>
      <xdr:row>31</xdr:row>
      <xdr:rowOff>47625</xdr:rowOff>
    </xdr:from>
    <xdr:to>
      <xdr:col>23</xdr:col>
      <xdr:colOff>238125</xdr:colOff>
      <xdr:row>34</xdr:row>
      <xdr:rowOff>114300</xdr:rowOff>
    </xdr:to>
    <xdr:sp macro="" textlink="">
      <xdr:nvSpPr>
        <xdr:cNvPr id="3" name="TextBox 2">
          <a:extLst>
            <a:ext uri="{FF2B5EF4-FFF2-40B4-BE49-F238E27FC236}">
              <a16:creationId xmlns:a16="http://schemas.microsoft.com/office/drawing/2014/main" id="{0BA87B3E-1B56-A7F7-CC70-8491C7F4D168}"/>
            </a:ext>
          </a:extLst>
        </xdr:cNvPr>
        <xdr:cNvSpPr txBox="1"/>
      </xdr:nvSpPr>
      <xdr:spPr>
        <a:xfrm>
          <a:off x="123825" y="7686675"/>
          <a:ext cx="1750695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a:t>This table summarizes the </a:t>
          </a:r>
          <a:r>
            <a:rPr lang="en-ZA" b="1"/>
            <a:t>mean distance to group centroids</a:t>
          </a:r>
          <a:r>
            <a:rPr lang="en-ZA"/>
            <a:t> (a measure of beta-dispersion) and associated </a:t>
          </a:r>
          <a:r>
            <a:rPr lang="en-ZA" b="1"/>
            <a:t>standard deviations (SD)</a:t>
          </a:r>
          <a:r>
            <a:rPr lang="en-ZA"/>
            <a:t> for different sample types (Building, Household, and Reservoir) using both </a:t>
          </a:r>
          <a:r>
            <a:rPr lang="en-ZA" b="1"/>
            <a:t>flow cytometry</a:t>
          </a:r>
          <a:r>
            <a:rPr lang="en-ZA"/>
            <a:t> and </a:t>
          </a:r>
          <a:r>
            <a:rPr lang="en-ZA" b="1"/>
            <a:t>16S rRNA gene sequencing</a:t>
          </a:r>
          <a:r>
            <a:rPr lang="en-ZA"/>
            <a:t> data. Two distance metrics were used: </a:t>
          </a:r>
          <a:r>
            <a:rPr lang="en-ZA" b="1"/>
            <a:t>Bray-Curtis</a:t>
          </a:r>
          <a:r>
            <a:rPr lang="en-ZA"/>
            <a:t> (reflecting relative abundance) and </a:t>
          </a:r>
          <a:r>
            <a:rPr lang="en-ZA" b="1"/>
            <a:t>Jaccard</a:t>
          </a:r>
          <a:r>
            <a:rPr lang="en-ZA"/>
            <a:t> (presence/absence). Higher mean distances indicate </a:t>
          </a:r>
          <a:r>
            <a:rPr lang="en-ZA" b="1"/>
            <a:t>greater within-group variability</a:t>
          </a:r>
          <a:r>
            <a:rPr lang="en-ZA"/>
            <a:t> in microbial community composition.</a:t>
          </a:r>
        </a:p>
        <a:p>
          <a:endParaRPr lang="en-ZA" sz="1100"/>
        </a:p>
      </xdr:txBody>
    </xdr:sp>
    <xdr:clientData/>
  </xdr:twoCellAnchor>
  <xdr:twoCellAnchor>
    <xdr:from>
      <xdr:col>0</xdr:col>
      <xdr:colOff>57149</xdr:colOff>
      <xdr:row>50</xdr:row>
      <xdr:rowOff>228600</xdr:rowOff>
    </xdr:from>
    <xdr:to>
      <xdr:col>18</xdr:col>
      <xdr:colOff>371474</xdr:colOff>
      <xdr:row>54</xdr:row>
      <xdr:rowOff>1</xdr:rowOff>
    </xdr:to>
    <xdr:sp macro="" textlink="">
      <xdr:nvSpPr>
        <xdr:cNvPr id="4" name="TextBox 3">
          <a:extLst>
            <a:ext uri="{FF2B5EF4-FFF2-40B4-BE49-F238E27FC236}">
              <a16:creationId xmlns:a16="http://schemas.microsoft.com/office/drawing/2014/main" id="{45F6FE1A-39C8-B0E1-7695-1204955BA2C3}"/>
            </a:ext>
          </a:extLst>
        </xdr:cNvPr>
        <xdr:cNvSpPr txBox="1"/>
      </xdr:nvSpPr>
      <xdr:spPr>
        <a:xfrm>
          <a:off x="57149" y="13496925"/>
          <a:ext cx="14373225" cy="581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ZA"/>
            <a:t>This table presents results from overall and pairwise </a:t>
          </a:r>
          <a:r>
            <a:rPr lang="en-ZA" b="1"/>
            <a:t>permutation tests for homogeneity of multivariate dispersions</a:t>
          </a:r>
          <a:r>
            <a:rPr lang="en-ZA"/>
            <a:t> across sample types (Building, Household, Reservoir). These tests assess whether </a:t>
          </a:r>
          <a:r>
            <a:rPr lang="en-ZA" b="1"/>
            <a:t>beta-diversity (community variability within groups)</a:t>
          </a:r>
          <a:r>
            <a:rPr lang="en-ZA"/>
            <a:t> differs significantly, which is critical when interpreting PERMANOVA results. Significant results indicate </a:t>
          </a:r>
          <a:r>
            <a:rPr lang="en-ZA" b="1"/>
            <a:t>heterogeneity of variances</a:t>
          </a:r>
          <a:r>
            <a:rPr lang="en-ZA"/>
            <a:t>, i.e., unequal within-group variation that may influence multivariate comparisons.</a:t>
          </a:r>
        </a:p>
        <a:p>
          <a:endParaRPr lang="en-ZA" sz="1100"/>
        </a:p>
        <a:p>
          <a:endParaRPr lang="en-Z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2155-3846-4686-9619-7CD243C31F9F}">
  <dimension ref="A1:U187"/>
  <sheetViews>
    <sheetView topLeftCell="A40" zoomScale="93" zoomScaleNormal="93" workbookViewId="0">
      <selection activeCell="O1" sqref="O1:P1048576"/>
    </sheetView>
  </sheetViews>
  <sheetFormatPr defaultRowHeight="15" x14ac:dyDescent="0.25"/>
  <cols>
    <col min="1" max="1" width="15.42578125" bestFit="1" customWidth="1"/>
    <col min="2" max="2" width="10.85546875" bestFit="1" customWidth="1"/>
    <col min="3" max="3" width="22.140625" customWidth="1"/>
    <col min="4" max="4" width="10" bestFit="1" customWidth="1"/>
    <col min="5" max="5" width="17.28515625" bestFit="1" customWidth="1"/>
    <col min="6" max="7" width="10" customWidth="1"/>
    <col min="8" max="8" width="10.5703125" bestFit="1" customWidth="1"/>
    <col min="9" max="9" width="10.28515625" customWidth="1"/>
    <col min="10" max="10" width="22.7109375" bestFit="1" customWidth="1"/>
    <col min="11" max="14" width="11.7109375" bestFit="1" customWidth="1"/>
    <col min="15" max="16" width="14.140625" style="1" bestFit="1" customWidth="1"/>
    <col min="17" max="17" width="12.85546875" bestFit="1" customWidth="1"/>
    <col min="18" max="18" width="16.28515625" bestFit="1" customWidth="1"/>
    <col min="19" max="19" width="20" bestFit="1" customWidth="1"/>
    <col min="20" max="20" width="20" customWidth="1"/>
    <col min="21" max="21" width="21.42578125" bestFit="1" customWidth="1"/>
  </cols>
  <sheetData>
    <row r="1" spans="1:21" s="8" customFormat="1" ht="18.75" x14ac:dyDescent="0.3">
      <c r="A1" s="18" t="s">
        <v>678</v>
      </c>
      <c r="B1" s="18" t="s">
        <v>106</v>
      </c>
      <c r="C1" s="18" t="s">
        <v>681</v>
      </c>
      <c r="D1" s="18" t="s">
        <v>682</v>
      </c>
      <c r="E1" s="18" t="s">
        <v>702</v>
      </c>
      <c r="F1" s="18" t="s">
        <v>683</v>
      </c>
      <c r="G1" s="18" t="s">
        <v>696</v>
      </c>
      <c r="H1" s="18" t="s">
        <v>697</v>
      </c>
      <c r="I1" s="18" t="s">
        <v>698</v>
      </c>
      <c r="J1" s="18" t="s">
        <v>795</v>
      </c>
      <c r="K1" s="18" t="s">
        <v>12</v>
      </c>
      <c r="L1" s="18" t="s">
        <v>699</v>
      </c>
      <c r="M1" s="18" t="s">
        <v>700</v>
      </c>
      <c r="N1" s="18" t="s">
        <v>701</v>
      </c>
      <c r="O1" s="19" t="s">
        <v>704</v>
      </c>
      <c r="P1" s="19" t="s">
        <v>703</v>
      </c>
      <c r="Q1" s="18" t="s">
        <v>705</v>
      </c>
      <c r="R1" s="18" t="s">
        <v>679</v>
      </c>
      <c r="S1" s="18" t="s">
        <v>107</v>
      </c>
      <c r="T1" s="18" t="s">
        <v>680</v>
      </c>
      <c r="U1" s="18" t="s">
        <v>294</v>
      </c>
    </row>
    <row r="2" spans="1:21" x14ac:dyDescent="0.25">
      <c r="A2" s="2" t="str">
        <f t="shared" ref="A2:A33" si="0">CONCATENATE(H2,"_",C2,"_",E2)</f>
        <v>RES_1_1_1</v>
      </c>
      <c r="B2" s="20">
        <v>43292</v>
      </c>
      <c r="C2" s="2">
        <v>1</v>
      </c>
      <c r="D2" s="2" t="s">
        <v>0</v>
      </c>
      <c r="E2" s="2">
        <v>1</v>
      </c>
      <c r="F2" s="2">
        <v>2018</v>
      </c>
      <c r="G2" s="2">
        <v>1</v>
      </c>
      <c r="H2" s="2" t="s">
        <v>684</v>
      </c>
      <c r="I2" s="2" t="s">
        <v>9</v>
      </c>
      <c r="J2" s="2" t="s">
        <v>796</v>
      </c>
      <c r="K2" s="2"/>
      <c r="L2" s="2" t="s">
        <v>481</v>
      </c>
      <c r="M2" s="2" t="s">
        <v>482</v>
      </c>
      <c r="N2" s="2" t="s">
        <v>674</v>
      </c>
      <c r="O2" s="2">
        <v>13</v>
      </c>
      <c r="P2" s="2">
        <v>15</v>
      </c>
      <c r="Q2" s="2">
        <v>15</v>
      </c>
      <c r="R2" s="2" t="str">
        <f>CONCATENATE(A2,"_PI.fcs")</f>
        <v>RES_1_1_1_PI.fcs</v>
      </c>
      <c r="S2" s="2" t="s">
        <v>108</v>
      </c>
      <c r="T2" s="2" t="str">
        <f>CONCATENATE(A2,"_SG.fcs")</f>
        <v>RES_1_1_1_SG.fcs</v>
      </c>
      <c r="U2" s="2" t="s">
        <v>295</v>
      </c>
    </row>
    <row r="3" spans="1:21" x14ac:dyDescent="0.25">
      <c r="A3" s="2" t="str">
        <f t="shared" si="0"/>
        <v>RES_2_1_1</v>
      </c>
      <c r="B3" s="20">
        <v>43292</v>
      </c>
      <c r="C3" s="2">
        <v>1</v>
      </c>
      <c r="D3" s="2" t="s">
        <v>0</v>
      </c>
      <c r="E3" s="2">
        <v>1</v>
      </c>
      <c r="F3" s="2">
        <v>2018</v>
      </c>
      <c r="G3" s="2">
        <v>1</v>
      </c>
      <c r="H3" s="2" t="s">
        <v>685</v>
      </c>
      <c r="I3" s="2" t="s">
        <v>9</v>
      </c>
      <c r="J3" s="2" t="s">
        <v>796</v>
      </c>
      <c r="K3" s="2"/>
      <c r="L3" s="2" t="s">
        <v>512</v>
      </c>
      <c r="M3" s="2" t="s">
        <v>493</v>
      </c>
      <c r="N3" s="2" t="s">
        <v>590</v>
      </c>
      <c r="O3" s="2">
        <v>13</v>
      </c>
      <c r="P3" s="2">
        <v>15</v>
      </c>
      <c r="Q3" s="2">
        <v>15</v>
      </c>
      <c r="R3" s="2" t="str">
        <f>CONCATENATE(A3,"_PI.fcs")</f>
        <v>RES_2_1_1_PI.fcs</v>
      </c>
      <c r="S3" s="2" t="s">
        <v>109</v>
      </c>
      <c r="T3" s="2" t="str">
        <f>CONCATENATE(A3,"_SG.fcs")</f>
        <v>RES_2_1_1_SG.fcs</v>
      </c>
      <c r="U3" s="2" t="s">
        <v>296</v>
      </c>
    </row>
    <row r="4" spans="1:21" x14ac:dyDescent="0.25">
      <c r="A4" s="2" t="str">
        <f t="shared" si="0"/>
        <v>RES_3_1_1</v>
      </c>
      <c r="B4" s="20">
        <v>43292</v>
      </c>
      <c r="C4" s="2">
        <v>1</v>
      </c>
      <c r="D4" s="2" t="s">
        <v>0</v>
      </c>
      <c r="E4" s="2">
        <v>1</v>
      </c>
      <c r="F4" s="2">
        <v>2018</v>
      </c>
      <c r="G4" s="2">
        <v>1</v>
      </c>
      <c r="H4" s="2" t="s">
        <v>686</v>
      </c>
      <c r="I4" s="2" t="s">
        <v>9</v>
      </c>
      <c r="J4" s="2" t="s">
        <v>796</v>
      </c>
      <c r="K4" s="2"/>
      <c r="L4" s="2" t="s">
        <v>546</v>
      </c>
      <c r="M4" s="2" t="s">
        <v>493</v>
      </c>
      <c r="N4" s="2" t="s">
        <v>676</v>
      </c>
      <c r="O4" s="2">
        <v>16</v>
      </c>
      <c r="P4" s="2">
        <v>18</v>
      </c>
      <c r="Q4" s="2">
        <v>20</v>
      </c>
      <c r="R4" s="2" t="str">
        <f>CONCATENATE(A4,"_PI.fcs")</f>
        <v>RES_3_1_1_PI.fcs</v>
      </c>
      <c r="S4" s="2" t="s">
        <v>110</v>
      </c>
      <c r="T4" s="2" t="str">
        <f>CONCATENATE(A4,"_SG.fcs")</f>
        <v>RES_3_1_1_SG.fcs</v>
      </c>
      <c r="U4" s="2" t="s">
        <v>297</v>
      </c>
    </row>
    <row r="5" spans="1:21" x14ac:dyDescent="0.25">
      <c r="A5" s="2" t="str">
        <f t="shared" si="0"/>
        <v>RES_4_1_1</v>
      </c>
      <c r="B5" s="20">
        <v>43292</v>
      </c>
      <c r="C5" s="2">
        <v>1</v>
      </c>
      <c r="D5" s="2" t="s">
        <v>0</v>
      </c>
      <c r="E5" s="2">
        <v>1</v>
      </c>
      <c r="F5" s="2">
        <v>2018</v>
      </c>
      <c r="G5" s="2">
        <v>1</v>
      </c>
      <c r="H5" s="2" t="s">
        <v>687</v>
      </c>
      <c r="I5" s="2" t="s">
        <v>9</v>
      </c>
      <c r="J5" s="2" t="s">
        <v>797</v>
      </c>
      <c r="K5" s="2"/>
      <c r="L5" s="2" t="s">
        <v>587</v>
      </c>
      <c r="M5" s="2" t="s">
        <v>482</v>
      </c>
      <c r="N5" s="2" t="s">
        <v>487</v>
      </c>
      <c r="O5" s="2">
        <v>14</v>
      </c>
      <c r="P5" s="2">
        <v>15</v>
      </c>
      <c r="Q5" s="2">
        <v>16</v>
      </c>
      <c r="R5" s="2" t="str">
        <f>CONCATENATE(A5,"_PI.fcs")</f>
        <v>RES_4_1_1_PI.fcs</v>
      </c>
      <c r="S5" s="2" t="s">
        <v>111</v>
      </c>
      <c r="T5" s="2" t="str">
        <f>CONCATENATE(A5,"_SG.fcs")</f>
        <v>RES_4_1_1_SG.fcs</v>
      </c>
      <c r="U5" s="2" t="s">
        <v>298</v>
      </c>
    </row>
    <row r="6" spans="1:21" x14ac:dyDescent="0.25">
      <c r="A6" s="2" t="str">
        <f t="shared" si="0"/>
        <v>RES_5_1_1</v>
      </c>
      <c r="B6" s="20">
        <v>43292</v>
      </c>
      <c r="C6" s="2">
        <v>1</v>
      </c>
      <c r="D6" s="2" t="s">
        <v>0</v>
      </c>
      <c r="E6" s="2">
        <v>1</v>
      </c>
      <c r="F6" s="2">
        <v>2018</v>
      </c>
      <c r="G6" s="2">
        <v>1</v>
      </c>
      <c r="H6" s="2" t="s">
        <v>688</v>
      </c>
      <c r="I6" s="2" t="s">
        <v>9</v>
      </c>
      <c r="J6" s="2" t="s">
        <v>798</v>
      </c>
      <c r="K6" s="2"/>
      <c r="L6" s="2" t="s">
        <v>483</v>
      </c>
      <c r="M6" s="2" t="s">
        <v>489</v>
      </c>
      <c r="N6" s="2" t="s">
        <v>558</v>
      </c>
      <c r="O6" s="2">
        <v>16</v>
      </c>
      <c r="P6" s="2">
        <v>18</v>
      </c>
      <c r="Q6" s="2">
        <v>20</v>
      </c>
      <c r="R6" s="2" t="str">
        <f>CONCATENATE(A6,"_PI.fcs")</f>
        <v>RES_5_1_1_PI.fcs</v>
      </c>
      <c r="S6" s="2" t="s">
        <v>112</v>
      </c>
      <c r="T6" s="2" t="str">
        <f>CONCATENATE(A6,"_SG.fcs")</f>
        <v>RES_5_1_1_SG.fcs</v>
      </c>
      <c r="U6" s="2" t="s">
        <v>299</v>
      </c>
    </row>
    <row r="7" spans="1:21" x14ac:dyDescent="0.25">
      <c r="A7" s="2" t="str">
        <f t="shared" si="0"/>
        <v>RES_6_1_1</v>
      </c>
      <c r="B7" s="20">
        <v>43292</v>
      </c>
      <c r="C7" s="2">
        <v>1</v>
      </c>
      <c r="D7" s="2" t="s">
        <v>0</v>
      </c>
      <c r="E7" s="2">
        <v>1</v>
      </c>
      <c r="F7" s="2">
        <v>2018</v>
      </c>
      <c r="G7" s="2">
        <v>1</v>
      </c>
      <c r="H7" s="2" t="s">
        <v>689</v>
      </c>
      <c r="I7" s="2" t="s">
        <v>9</v>
      </c>
      <c r="J7" s="2" t="s">
        <v>798</v>
      </c>
      <c r="K7" s="2"/>
      <c r="L7" s="2" t="s">
        <v>481</v>
      </c>
      <c r="M7" s="2" t="s">
        <v>489</v>
      </c>
      <c r="N7" s="2" t="s">
        <v>639</v>
      </c>
      <c r="O7" s="2">
        <v>16</v>
      </c>
      <c r="P7" s="2">
        <v>18</v>
      </c>
      <c r="Q7" s="2">
        <v>20</v>
      </c>
      <c r="R7" s="2" t="str">
        <f>CONCATENATE(A7,"_PI.fcs")</f>
        <v>RES_6_1_1_PI.fcs</v>
      </c>
      <c r="S7" s="2" t="s">
        <v>113</v>
      </c>
      <c r="T7" s="2" t="str">
        <f>CONCATENATE(A7,"_SG.fcs")</f>
        <v>RES_6_1_1_SG.fcs</v>
      </c>
      <c r="U7" s="2" t="s">
        <v>300</v>
      </c>
    </row>
    <row r="8" spans="1:21" x14ac:dyDescent="0.25">
      <c r="A8" s="2" t="str">
        <f t="shared" si="0"/>
        <v>COM_1_1_1</v>
      </c>
      <c r="B8" s="20">
        <v>43299</v>
      </c>
      <c r="C8" s="2">
        <v>1</v>
      </c>
      <c r="D8" s="2" t="s">
        <v>0</v>
      </c>
      <c r="E8" s="2">
        <v>1</v>
      </c>
      <c r="F8" s="2">
        <v>2018</v>
      </c>
      <c r="G8" s="2">
        <v>2</v>
      </c>
      <c r="H8" s="2" t="s">
        <v>690</v>
      </c>
      <c r="I8" s="2" t="s">
        <v>10</v>
      </c>
      <c r="J8" s="2" t="s">
        <v>796</v>
      </c>
      <c r="K8" s="2" t="s">
        <v>13</v>
      </c>
      <c r="L8" s="2" t="s">
        <v>508</v>
      </c>
      <c r="M8" s="2" t="s">
        <v>489</v>
      </c>
      <c r="N8" s="2" t="s">
        <v>509</v>
      </c>
      <c r="O8" s="2">
        <v>17</v>
      </c>
      <c r="P8" s="2">
        <v>16</v>
      </c>
      <c r="Q8" s="2">
        <v>17</v>
      </c>
      <c r="R8" s="2" t="str">
        <f>CONCATENATE(A8,"_PI.fcs")</f>
        <v>COM_1_1_1_PI.fcs</v>
      </c>
      <c r="S8" s="2" t="s">
        <v>114</v>
      </c>
      <c r="T8" s="2" t="str">
        <f>CONCATENATE(A8,"_SG.fcs")</f>
        <v>COM_1_1_1_SG.fcs</v>
      </c>
      <c r="U8" s="2" t="s">
        <v>301</v>
      </c>
    </row>
    <row r="9" spans="1:21" x14ac:dyDescent="0.25">
      <c r="A9" s="2" t="str">
        <f t="shared" si="0"/>
        <v>COM_2_1_1</v>
      </c>
      <c r="B9" s="20">
        <v>43299</v>
      </c>
      <c r="C9" s="2">
        <v>1</v>
      </c>
      <c r="D9" s="2" t="s">
        <v>0</v>
      </c>
      <c r="E9" s="2">
        <v>1</v>
      </c>
      <c r="F9" s="2">
        <v>2018</v>
      </c>
      <c r="G9" s="2">
        <v>2</v>
      </c>
      <c r="H9" s="2" t="s">
        <v>692</v>
      </c>
      <c r="I9" s="2" t="s">
        <v>10</v>
      </c>
      <c r="J9" s="2" t="s">
        <v>796</v>
      </c>
      <c r="K9" s="2" t="s">
        <v>62</v>
      </c>
      <c r="L9" s="2" t="s">
        <v>630</v>
      </c>
      <c r="M9" s="2" t="s">
        <v>496</v>
      </c>
      <c r="N9" s="2" t="s">
        <v>640</v>
      </c>
      <c r="O9" s="2">
        <v>17</v>
      </c>
      <c r="P9" s="2">
        <v>16</v>
      </c>
      <c r="Q9" s="2">
        <v>17</v>
      </c>
      <c r="R9" s="2" t="str">
        <f>CONCATENATE(A9,"_PI.fcs")</f>
        <v>COM_2_1_1_PI.fcs</v>
      </c>
      <c r="S9" s="2" t="s">
        <v>116</v>
      </c>
      <c r="T9" s="2" t="str">
        <f>CONCATENATE(A9,"_SG.fcs")</f>
        <v>COM_2_1_1_SG.fcs</v>
      </c>
      <c r="U9" s="2" t="s">
        <v>303</v>
      </c>
    </row>
    <row r="10" spans="1:21" x14ac:dyDescent="0.25">
      <c r="A10" s="2" t="str">
        <f t="shared" si="0"/>
        <v>HOUSE_1_1_1</v>
      </c>
      <c r="B10" s="20">
        <v>43299</v>
      </c>
      <c r="C10" s="2">
        <v>1</v>
      </c>
      <c r="D10" s="2" t="s">
        <v>0</v>
      </c>
      <c r="E10" s="2">
        <v>1</v>
      </c>
      <c r="F10" s="2">
        <v>2018</v>
      </c>
      <c r="G10" s="2">
        <v>2</v>
      </c>
      <c r="H10" s="2" t="s">
        <v>691</v>
      </c>
      <c r="I10" s="2" t="s">
        <v>11</v>
      </c>
      <c r="J10" s="2" t="s">
        <v>796</v>
      </c>
      <c r="K10" s="2" t="s">
        <v>50</v>
      </c>
      <c r="L10" s="2" t="s">
        <v>664</v>
      </c>
      <c r="M10" s="2" t="s">
        <v>485</v>
      </c>
      <c r="N10" s="2" t="s">
        <v>590</v>
      </c>
      <c r="O10" s="2">
        <v>17</v>
      </c>
      <c r="P10" s="2">
        <v>16</v>
      </c>
      <c r="Q10" s="2">
        <v>17</v>
      </c>
      <c r="R10" s="2" t="str">
        <f>CONCATENATE(A10,"_PI.fcs")</f>
        <v>HOUSE_1_1_1_PI.fcs</v>
      </c>
      <c r="S10" s="2" t="s">
        <v>115</v>
      </c>
      <c r="T10" s="2" t="str">
        <f>CONCATENATE(A10,"_SG.fcs")</f>
        <v>HOUSE_1_1_1_SG.fcs</v>
      </c>
      <c r="U10" s="2" t="s">
        <v>302</v>
      </c>
    </row>
    <row r="11" spans="1:21" x14ac:dyDescent="0.25">
      <c r="A11" s="2" t="str">
        <f t="shared" si="0"/>
        <v>HOUSE_2_1_1</v>
      </c>
      <c r="B11" s="20">
        <v>43299</v>
      </c>
      <c r="C11" s="2">
        <v>1</v>
      </c>
      <c r="D11" s="2" t="s">
        <v>0</v>
      </c>
      <c r="E11" s="2">
        <v>1</v>
      </c>
      <c r="F11" s="2">
        <v>2018</v>
      </c>
      <c r="G11" s="2">
        <v>2</v>
      </c>
      <c r="H11" s="2" t="s">
        <v>693</v>
      </c>
      <c r="I11" s="2" t="s">
        <v>11</v>
      </c>
      <c r="J11" s="2" t="s">
        <v>796</v>
      </c>
      <c r="K11" s="2" t="s">
        <v>80</v>
      </c>
      <c r="L11" s="2" t="s">
        <v>664</v>
      </c>
      <c r="M11" s="2" t="s">
        <v>485</v>
      </c>
      <c r="N11" s="2" t="s">
        <v>592</v>
      </c>
      <c r="O11" s="2">
        <v>17</v>
      </c>
      <c r="P11" s="2">
        <v>16</v>
      </c>
      <c r="Q11" s="2">
        <v>17</v>
      </c>
      <c r="R11" s="2" t="str">
        <f>CONCATENATE(A11,"_PI.fcs")</f>
        <v>HOUSE_2_1_1_PI.fcs</v>
      </c>
      <c r="S11" s="2" t="s">
        <v>117</v>
      </c>
      <c r="T11" s="2" t="str">
        <f>CONCATENATE(A11,"_SG.fcs")</f>
        <v>HOUSE_2_1_1_SG.fcs</v>
      </c>
      <c r="U11" s="2" t="s">
        <v>304</v>
      </c>
    </row>
    <row r="12" spans="1:21" x14ac:dyDescent="0.25">
      <c r="A12" s="2" t="str">
        <f t="shared" si="0"/>
        <v>HOUSE_3_1_1</v>
      </c>
      <c r="B12" s="20">
        <v>43299</v>
      </c>
      <c r="C12" s="2">
        <v>1</v>
      </c>
      <c r="D12" s="2" t="s">
        <v>0</v>
      </c>
      <c r="E12" s="2">
        <v>1</v>
      </c>
      <c r="F12" s="2">
        <v>2018</v>
      </c>
      <c r="G12" s="2">
        <v>2</v>
      </c>
      <c r="H12" s="2" t="s">
        <v>694</v>
      </c>
      <c r="I12" s="2" t="s">
        <v>11</v>
      </c>
      <c r="J12" s="2" t="s">
        <v>796</v>
      </c>
      <c r="K12" s="2" t="s">
        <v>92</v>
      </c>
      <c r="L12" s="2" t="s">
        <v>549</v>
      </c>
      <c r="M12" s="2" t="s">
        <v>491</v>
      </c>
      <c r="N12" s="2" t="s">
        <v>501</v>
      </c>
      <c r="O12" s="2">
        <v>17</v>
      </c>
      <c r="P12" s="2">
        <v>16</v>
      </c>
      <c r="Q12" s="2">
        <v>17</v>
      </c>
      <c r="R12" s="2" t="str">
        <f>CONCATENATE(A12,"_PI.fcs")</f>
        <v>HOUSE_3_1_1_PI.fcs</v>
      </c>
      <c r="S12" s="2" t="s">
        <v>118</v>
      </c>
      <c r="T12" s="2" t="str">
        <f>CONCATENATE(A12,"_SG.fcs")</f>
        <v>HOUSE_3_1_1_SG.fcs</v>
      </c>
      <c r="U12" s="2" t="s">
        <v>305</v>
      </c>
    </row>
    <row r="13" spans="1:21" x14ac:dyDescent="0.25">
      <c r="A13" s="2" t="str">
        <f t="shared" si="0"/>
        <v>HOUSE_4_1_1</v>
      </c>
      <c r="B13" s="20">
        <v>43299</v>
      </c>
      <c r="C13" s="2">
        <v>1</v>
      </c>
      <c r="D13" s="2" t="s">
        <v>0</v>
      </c>
      <c r="E13" s="2">
        <v>1</v>
      </c>
      <c r="F13" s="2">
        <v>2018</v>
      </c>
      <c r="G13" s="2">
        <v>2</v>
      </c>
      <c r="H13" s="2" t="s">
        <v>695</v>
      </c>
      <c r="I13" s="2" t="s">
        <v>11</v>
      </c>
      <c r="J13" s="2" t="s">
        <v>796</v>
      </c>
      <c r="K13" s="2"/>
      <c r="L13" s="2" t="s">
        <v>603</v>
      </c>
      <c r="M13" s="2" t="s">
        <v>493</v>
      </c>
      <c r="N13" s="2" t="s">
        <v>581</v>
      </c>
      <c r="O13" s="2">
        <v>17</v>
      </c>
      <c r="P13" s="2">
        <v>16</v>
      </c>
      <c r="Q13" s="2">
        <v>17</v>
      </c>
      <c r="R13" s="2" t="str">
        <f>CONCATENATE(A13,"_PI.fcs")</f>
        <v>HOUSE_4_1_1_PI.fcs</v>
      </c>
      <c r="S13" s="2" t="s">
        <v>119</v>
      </c>
      <c r="T13" s="2" t="str">
        <f>CONCATENATE(A13,"_SG.fcs")</f>
        <v>HOUSE_4_1_1_SG.fcs</v>
      </c>
      <c r="U13" s="2" t="s">
        <v>306</v>
      </c>
    </row>
    <row r="14" spans="1:21" x14ac:dyDescent="0.25">
      <c r="A14" s="2" t="str">
        <f t="shared" si="0"/>
        <v>RES_1_1_2</v>
      </c>
      <c r="B14" s="20">
        <v>43305</v>
      </c>
      <c r="C14" s="2">
        <v>1</v>
      </c>
      <c r="D14" s="2" t="s">
        <v>0</v>
      </c>
      <c r="E14" s="2">
        <v>2</v>
      </c>
      <c r="F14" s="2">
        <v>2018</v>
      </c>
      <c r="G14" s="2">
        <v>3</v>
      </c>
      <c r="H14" s="2" t="s">
        <v>684</v>
      </c>
      <c r="I14" s="2" t="s">
        <v>9</v>
      </c>
      <c r="J14" s="2" t="s">
        <v>796</v>
      </c>
      <c r="K14" s="2"/>
      <c r="L14" s="2" t="s">
        <v>484</v>
      </c>
      <c r="M14" s="2" t="s">
        <v>485</v>
      </c>
      <c r="N14" s="2" t="s">
        <v>487</v>
      </c>
      <c r="O14" s="2">
        <v>16</v>
      </c>
      <c r="P14" s="2">
        <v>17</v>
      </c>
      <c r="Q14" s="2">
        <v>18</v>
      </c>
      <c r="R14" s="2" t="str">
        <f>CONCATENATE(A14,"_PI.fcs")</f>
        <v>RES_1_1_2_PI.fcs</v>
      </c>
      <c r="S14" s="2" t="s">
        <v>120</v>
      </c>
      <c r="T14" s="2" t="str">
        <f>CONCATENATE(A14,"_SG.fcs")</f>
        <v>RES_1_1_2_SG.fcs</v>
      </c>
      <c r="U14" s="2" t="s">
        <v>307</v>
      </c>
    </row>
    <row r="15" spans="1:21" x14ac:dyDescent="0.25">
      <c r="A15" s="2" t="str">
        <f t="shared" si="0"/>
        <v>RES_2_1_2</v>
      </c>
      <c r="B15" s="20">
        <v>43305</v>
      </c>
      <c r="C15" s="2">
        <v>1</v>
      </c>
      <c r="D15" s="2" t="s">
        <v>0</v>
      </c>
      <c r="E15" s="2">
        <v>2</v>
      </c>
      <c r="F15" s="2">
        <v>2018</v>
      </c>
      <c r="G15" s="2">
        <v>3</v>
      </c>
      <c r="H15" s="2" t="s">
        <v>685</v>
      </c>
      <c r="I15" s="2" t="s">
        <v>9</v>
      </c>
      <c r="J15" s="2" t="s">
        <v>796</v>
      </c>
      <c r="K15" s="2"/>
      <c r="L15" s="2" t="s">
        <v>516</v>
      </c>
      <c r="M15" s="2" t="s">
        <v>491</v>
      </c>
      <c r="N15" s="2" t="s">
        <v>517</v>
      </c>
      <c r="O15" s="2">
        <v>16</v>
      </c>
      <c r="P15" s="2">
        <v>17</v>
      </c>
      <c r="Q15" s="2">
        <v>18</v>
      </c>
      <c r="R15" s="2" t="str">
        <f>CONCATENATE(A15,"_PI.fcs")</f>
        <v>RES_2_1_2_PI.fcs</v>
      </c>
      <c r="S15" s="2" t="s">
        <v>121</v>
      </c>
      <c r="T15" s="2" t="str">
        <f>CONCATENATE(A15,"_SG.fcs")</f>
        <v>RES_2_1_2_SG.fcs</v>
      </c>
      <c r="U15" s="2" t="s">
        <v>308</v>
      </c>
    </row>
    <row r="16" spans="1:21" x14ac:dyDescent="0.25">
      <c r="A16" s="2" t="str">
        <f t="shared" si="0"/>
        <v>RES_3_1_2</v>
      </c>
      <c r="B16" s="20">
        <v>43305</v>
      </c>
      <c r="C16" s="2">
        <v>1</v>
      </c>
      <c r="D16" s="2" t="s">
        <v>0</v>
      </c>
      <c r="E16" s="2">
        <v>2</v>
      </c>
      <c r="F16" s="2">
        <v>2018</v>
      </c>
      <c r="G16" s="2">
        <v>3</v>
      </c>
      <c r="H16" s="2" t="s">
        <v>686</v>
      </c>
      <c r="I16" s="2" t="s">
        <v>9</v>
      </c>
      <c r="J16" s="2" t="s">
        <v>796</v>
      </c>
      <c r="K16" s="2"/>
      <c r="L16" s="2" t="s">
        <v>548</v>
      </c>
      <c r="M16" s="2" t="s">
        <v>508</v>
      </c>
      <c r="N16" s="2" t="s">
        <v>550</v>
      </c>
      <c r="O16" s="2">
        <v>19</v>
      </c>
      <c r="P16" s="2">
        <v>20</v>
      </c>
      <c r="Q16" s="2">
        <v>20</v>
      </c>
      <c r="R16" s="2" t="str">
        <f>CONCATENATE(A16,"_PI.fcs")</f>
        <v>RES_3_1_2_PI.fcs</v>
      </c>
      <c r="S16" s="2" t="s">
        <v>122</v>
      </c>
      <c r="T16" s="2" t="str">
        <f>CONCATENATE(A16,"_SG.fcs")</f>
        <v>RES_3_1_2_SG.fcs</v>
      </c>
      <c r="U16" s="2" t="s">
        <v>309</v>
      </c>
    </row>
    <row r="17" spans="1:21" x14ac:dyDescent="0.25">
      <c r="A17" s="2" t="str">
        <f t="shared" si="0"/>
        <v>RES_4_1_2</v>
      </c>
      <c r="B17" s="20">
        <v>43305</v>
      </c>
      <c r="C17" s="2">
        <v>1</v>
      </c>
      <c r="D17" s="2" t="s">
        <v>0</v>
      </c>
      <c r="E17" s="2">
        <v>2</v>
      </c>
      <c r="F17" s="2">
        <v>2018</v>
      </c>
      <c r="G17" s="2">
        <v>3</v>
      </c>
      <c r="H17" s="2" t="s">
        <v>687</v>
      </c>
      <c r="I17" s="2" t="s">
        <v>9</v>
      </c>
      <c r="J17" s="2" t="s">
        <v>797</v>
      </c>
      <c r="K17" s="2"/>
      <c r="L17" s="2" t="s">
        <v>626</v>
      </c>
      <c r="M17" s="2" t="s">
        <v>603</v>
      </c>
      <c r="N17" s="2" t="s">
        <v>628</v>
      </c>
      <c r="O17" s="2">
        <v>18</v>
      </c>
      <c r="P17" s="2">
        <v>19</v>
      </c>
      <c r="Q17" s="2">
        <v>20</v>
      </c>
      <c r="R17" s="2" t="str">
        <f>CONCATENATE(A17,"_PI.fcs")</f>
        <v>RES_4_1_2_PI.fcs</v>
      </c>
      <c r="S17" s="2" t="s">
        <v>123</v>
      </c>
      <c r="T17" s="2" t="str">
        <f>CONCATENATE(A17,"_SG.fcs")</f>
        <v>RES_4_1_2_SG.fcs</v>
      </c>
      <c r="U17" s="2" t="s">
        <v>310</v>
      </c>
    </row>
    <row r="18" spans="1:21" x14ac:dyDescent="0.25">
      <c r="A18" s="2" t="str">
        <f t="shared" si="0"/>
        <v>RES_5_1_2</v>
      </c>
      <c r="B18" s="20">
        <v>43305</v>
      </c>
      <c r="C18" s="2">
        <v>1</v>
      </c>
      <c r="D18" s="2" t="s">
        <v>0</v>
      </c>
      <c r="E18" s="2">
        <v>2</v>
      </c>
      <c r="F18" s="2">
        <v>2018</v>
      </c>
      <c r="G18" s="2">
        <v>3</v>
      </c>
      <c r="H18" s="2" t="s">
        <v>688</v>
      </c>
      <c r="I18" s="2" t="s">
        <v>9</v>
      </c>
      <c r="J18" s="2" t="s">
        <v>798</v>
      </c>
      <c r="K18" s="2"/>
      <c r="L18" s="2" t="s">
        <v>582</v>
      </c>
      <c r="M18" s="2" t="s">
        <v>488</v>
      </c>
      <c r="N18" s="2" t="s">
        <v>583</v>
      </c>
      <c r="O18" s="2">
        <v>19</v>
      </c>
      <c r="P18" s="2">
        <v>20</v>
      </c>
      <c r="Q18" s="2">
        <v>20</v>
      </c>
      <c r="R18" s="2" t="str">
        <f>CONCATENATE(A18,"_PI.fcs")</f>
        <v>RES_5_1_2_PI.fcs</v>
      </c>
      <c r="S18" s="2" t="s">
        <v>124</v>
      </c>
      <c r="T18" s="2" t="str">
        <f>CONCATENATE(A18,"_SG.fcs")</f>
        <v>RES_5_1_2_SG.fcs</v>
      </c>
      <c r="U18" s="2" t="s">
        <v>311</v>
      </c>
    </row>
    <row r="19" spans="1:21" x14ac:dyDescent="0.25">
      <c r="A19" s="2" t="str">
        <f t="shared" si="0"/>
        <v>RES_6_1_2</v>
      </c>
      <c r="B19" s="20">
        <v>43305</v>
      </c>
      <c r="C19" s="2">
        <v>1</v>
      </c>
      <c r="D19" s="2" t="s">
        <v>0</v>
      </c>
      <c r="E19" s="2">
        <v>2</v>
      </c>
      <c r="F19" s="2">
        <v>2018</v>
      </c>
      <c r="G19" s="2">
        <v>3</v>
      </c>
      <c r="H19" s="2" t="s">
        <v>689</v>
      </c>
      <c r="I19" s="2" t="s">
        <v>9</v>
      </c>
      <c r="J19" s="2" t="s">
        <v>798</v>
      </c>
      <c r="K19" s="2"/>
      <c r="L19" s="2" t="s">
        <v>610</v>
      </c>
      <c r="M19" s="2" t="s">
        <v>485</v>
      </c>
      <c r="N19" s="2" t="s">
        <v>611</v>
      </c>
      <c r="O19" s="2">
        <v>19</v>
      </c>
      <c r="P19" s="2">
        <v>20</v>
      </c>
      <c r="Q19" s="2">
        <v>20</v>
      </c>
      <c r="R19" s="2" t="str">
        <f>CONCATENATE(A19,"_PI.fcs")</f>
        <v>RES_6_1_2_PI.fcs</v>
      </c>
      <c r="S19" s="2" t="s">
        <v>125</v>
      </c>
      <c r="T19" s="2" t="str">
        <f>CONCATENATE(A19,"_SG.fcs")</f>
        <v>RES_6_1_2_SG.fcs</v>
      </c>
      <c r="U19" s="2" t="s">
        <v>312</v>
      </c>
    </row>
    <row r="20" spans="1:21" x14ac:dyDescent="0.25">
      <c r="A20" s="2" t="str">
        <f t="shared" si="0"/>
        <v>COM_1_2_1</v>
      </c>
      <c r="B20" s="20">
        <v>43313</v>
      </c>
      <c r="C20" s="2">
        <v>2</v>
      </c>
      <c r="D20" s="2" t="s">
        <v>1</v>
      </c>
      <c r="E20" s="2">
        <v>1</v>
      </c>
      <c r="F20" s="2">
        <v>2018</v>
      </c>
      <c r="G20" s="2">
        <v>4</v>
      </c>
      <c r="H20" s="2" t="s">
        <v>690</v>
      </c>
      <c r="I20" s="2" t="s">
        <v>10</v>
      </c>
      <c r="J20" s="2" t="s">
        <v>796</v>
      </c>
      <c r="K20" s="2" t="s">
        <v>14</v>
      </c>
      <c r="L20" s="2" t="s">
        <v>493</v>
      </c>
      <c r="M20" s="2" t="s">
        <v>482</v>
      </c>
      <c r="N20" s="2" t="s">
        <v>566</v>
      </c>
      <c r="O20" s="2">
        <v>23</v>
      </c>
      <c r="P20" s="2">
        <v>24</v>
      </c>
      <c r="Q20" s="2">
        <v>26</v>
      </c>
      <c r="R20" s="2" t="str">
        <f>CONCATENATE(A20,"_PI.fcs")</f>
        <v>COM_1_2_1_PI.fcs</v>
      </c>
      <c r="S20" s="2" t="s">
        <v>126</v>
      </c>
      <c r="T20" s="2" t="str">
        <f>CONCATENATE(A20,"_SG.fcs")</f>
        <v>COM_1_2_1_SG.fcs</v>
      </c>
      <c r="U20" s="2" t="s">
        <v>313</v>
      </c>
    </row>
    <row r="21" spans="1:21" x14ac:dyDescent="0.25">
      <c r="A21" s="2" t="str">
        <f t="shared" si="0"/>
        <v>COM_2_2_1</v>
      </c>
      <c r="B21" s="20">
        <v>43313</v>
      </c>
      <c r="C21" s="2">
        <v>2</v>
      </c>
      <c r="D21" s="2" t="s">
        <v>1</v>
      </c>
      <c r="E21" s="2">
        <v>1</v>
      </c>
      <c r="F21" s="2">
        <v>2018</v>
      </c>
      <c r="G21" s="2">
        <v>4</v>
      </c>
      <c r="H21" s="2" t="s">
        <v>692</v>
      </c>
      <c r="I21" s="2" t="s">
        <v>10</v>
      </c>
      <c r="J21" s="2" t="s">
        <v>796</v>
      </c>
      <c r="K21" s="2" t="s">
        <v>63</v>
      </c>
      <c r="L21" s="2" t="s">
        <v>645</v>
      </c>
      <c r="M21" s="2" t="s">
        <v>485</v>
      </c>
      <c r="N21" s="2" t="s">
        <v>583</v>
      </c>
      <c r="O21" s="2">
        <v>23</v>
      </c>
      <c r="P21" s="2">
        <v>24</v>
      </c>
      <c r="Q21" s="2">
        <v>26</v>
      </c>
      <c r="R21" s="2" t="str">
        <f>CONCATENATE(A21,"_PI.fcs")</f>
        <v>COM_2_2_1_PI.fcs</v>
      </c>
      <c r="S21" s="2" t="s">
        <v>132</v>
      </c>
      <c r="T21" s="2" t="str">
        <f>CONCATENATE(A21,"_SG.fcs")</f>
        <v>COM_2_2_1_SG.fcs</v>
      </c>
      <c r="U21" s="2" t="s">
        <v>319</v>
      </c>
    </row>
    <row r="22" spans="1:21" x14ac:dyDescent="0.25">
      <c r="A22" s="2" t="str">
        <f t="shared" si="0"/>
        <v>HOUSE_1_2_1</v>
      </c>
      <c r="B22" s="20">
        <v>43313</v>
      </c>
      <c r="C22" s="2">
        <v>2</v>
      </c>
      <c r="D22" s="2" t="s">
        <v>1</v>
      </c>
      <c r="E22" s="2">
        <v>1</v>
      </c>
      <c r="F22" s="2">
        <v>2018</v>
      </c>
      <c r="G22" s="2">
        <v>4</v>
      </c>
      <c r="H22" s="2" t="s">
        <v>691</v>
      </c>
      <c r="I22" s="2" t="s">
        <v>11</v>
      </c>
      <c r="J22" s="2" t="s">
        <v>796</v>
      </c>
      <c r="K22" s="2"/>
      <c r="L22" s="2" t="s">
        <v>665</v>
      </c>
      <c r="M22" s="2" t="s">
        <v>485</v>
      </c>
      <c r="N22" s="2" t="s">
        <v>513</v>
      </c>
      <c r="O22" s="2">
        <v>23</v>
      </c>
      <c r="P22" s="2">
        <v>24</v>
      </c>
      <c r="Q22" s="2">
        <v>26</v>
      </c>
      <c r="R22" s="2" t="str">
        <f>CONCATENATE(A22,"_PI.fcs")</f>
        <v>HOUSE_1_2_1_PI.fcs</v>
      </c>
      <c r="S22" s="2" t="s">
        <v>129</v>
      </c>
      <c r="T22" s="2" t="str">
        <f>CONCATENATE(A22,"_SG.fcs")</f>
        <v>HOUSE_1_2_1_SG.fcs</v>
      </c>
      <c r="U22" s="2" t="s">
        <v>316</v>
      </c>
    </row>
    <row r="23" spans="1:21" x14ac:dyDescent="0.25">
      <c r="A23" s="2" t="str">
        <f t="shared" si="0"/>
        <v>HOUSE_2_2_1</v>
      </c>
      <c r="B23" s="20">
        <v>43313</v>
      </c>
      <c r="C23" s="2">
        <v>2</v>
      </c>
      <c r="D23" s="2" t="s">
        <v>1</v>
      </c>
      <c r="E23" s="2">
        <v>1</v>
      </c>
      <c r="F23" s="2">
        <v>2018</v>
      </c>
      <c r="G23" s="2">
        <v>4</v>
      </c>
      <c r="H23" s="2" t="s">
        <v>693</v>
      </c>
      <c r="I23" s="2" t="s">
        <v>11</v>
      </c>
      <c r="J23" s="2" t="s">
        <v>796</v>
      </c>
      <c r="K23" s="2"/>
      <c r="L23" s="2" t="s">
        <v>563</v>
      </c>
      <c r="M23" s="2" t="s">
        <v>491</v>
      </c>
      <c r="N23" s="2" t="s">
        <v>668</v>
      </c>
      <c r="O23" s="2">
        <v>23</v>
      </c>
      <c r="P23" s="2">
        <v>24</v>
      </c>
      <c r="Q23" s="2">
        <v>26</v>
      </c>
      <c r="R23" s="2" t="str">
        <f>CONCATENATE(A23,"_PI.fcs")</f>
        <v>HOUSE_2_2_1_PI.fcs</v>
      </c>
      <c r="S23" s="2" t="s">
        <v>135</v>
      </c>
      <c r="T23" s="2" t="str">
        <f>CONCATENATE(A23,"_SG.fcs")</f>
        <v>HOUSE_2_2_1_SG.fcs</v>
      </c>
      <c r="U23" s="2" t="s">
        <v>322</v>
      </c>
    </row>
    <row r="24" spans="1:21" x14ac:dyDescent="0.25">
      <c r="A24" s="2" t="str">
        <f t="shared" si="0"/>
        <v>HOUSE_3_2_1</v>
      </c>
      <c r="B24" s="20">
        <v>43313</v>
      </c>
      <c r="C24" s="2">
        <v>2</v>
      </c>
      <c r="D24" s="2" t="s">
        <v>1</v>
      </c>
      <c r="E24" s="2">
        <v>1</v>
      </c>
      <c r="F24" s="2">
        <v>2018</v>
      </c>
      <c r="G24" s="2">
        <v>4</v>
      </c>
      <c r="H24" s="2" t="s">
        <v>694</v>
      </c>
      <c r="I24" s="2" t="s">
        <v>11</v>
      </c>
      <c r="J24" s="2" t="s">
        <v>796</v>
      </c>
      <c r="K24" s="2" t="s">
        <v>93</v>
      </c>
      <c r="L24" s="2" t="s">
        <v>655</v>
      </c>
      <c r="M24" s="2" t="s">
        <v>491</v>
      </c>
      <c r="N24" s="2" t="s">
        <v>595</v>
      </c>
      <c r="O24" s="2">
        <v>23</v>
      </c>
      <c r="P24" s="2">
        <v>24</v>
      </c>
      <c r="Q24" s="2">
        <v>26</v>
      </c>
      <c r="R24" s="2" t="str">
        <f>CONCATENATE(A24,"_PI.fcs")</f>
        <v>HOUSE_3_2_1_PI.fcs</v>
      </c>
      <c r="S24" s="2" t="s">
        <v>136</v>
      </c>
      <c r="T24" s="2" t="str">
        <f>CONCATENATE(A24,"_SG.fcs")</f>
        <v>HOUSE_3_2_1_SG.fcs</v>
      </c>
      <c r="U24" s="2" t="s">
        <v>323</v>
      </c>
    </row>
    <row r="25" spans="1:21" x14ac:dyDescent="0.25">
      <c r="A25" s="2" t="str">
        <f t="shared" si="0"/>
        <v>HOUSE_4_2_1</v>
      </c>
      <c r="B25" s="20">
        <v>43313</v>
      </c>
      <c r="C25" s="2">
        <v>2</v>
      </c>
      <c r="D25" s="2" t="s">
        <v>1</v>
      </c>
      <c r="E25" s="2">
        <v>1</v>
      </c>
      <c r="F25" s="2">
        <v>2018</v>
      </c>
      <c r="G25" s="2">
        <v>4</v>
      </c>
      <c r="H25" s="2" t="s">
        <v>695</v>
      </c>
      <c r="I25" s="2" t="s">
        <v>11</v>
      </c>
      <c r="J25" s="2" t="s">
        <v>796</v>
      </c>
      <c r="K25" s="2" t="s">
        <v>98</v>
      </c>
      <c r="L25" s="2" t="s">
        <v>594</v>
      </c>
      <c r="M25" s="2" t="s">
        <v>491</v>
      </c>
      <c r="N25" s="2" t="s">
        <v>585</v>
      </c>
      <c r="O25" s="2">
        <v>23</v>
      </c>
      <c r="P25" s="2">
        <v>24</v>
      </c>
      <c r="Q25" s="2">
        <v>26</v>
      </c>
      <c r="R25" s="2" t="str">
        <f>CONCATENATE(A25,"_PI.fcs")</f>
        <v>HOUSE_4_2_1_PI.fcs</v>
      </c>
      <c r="S25" s="2" t="s">
        <v>137</v>
      </c>
      <c r="T25" s="2" t="str">
        <f>CONCATENATE(A25,"_SG.fcs")</f>
        <v>HOUSE_4_2_1_SG.fcs</v>
      </c>
      <c r="U25" s="2" t="s">
        <v>324</v>
      </c>
    </row>
    <row r="26" spans="1:21" x14ac:dyDescent="0.25">
      <c r="A26" s="2" t="str">
        <f t="shared" si="0"/>
        <v>RES_1_2_1</v>
      </c>
      <c r="B26" s="20">
        <v>43313</v>
      </c>
      <c r="C26" s="2">
        <v>2</v>
      </c>
      <c r="D26" s="2" t="s">
        <v>1</v>
      </c>
      <c r="E26" s="2">
        <v>1</v>
      </c>
      <c r="F26" s="2">
        <v>2018</v>
      </c>
      <c r="G26" s="2">
        <v>1</v>
      </c>
      <c r="H26" s="2" t="s">
        <v>684</v>
      </c>
      <c r="I26" s="2" t="s">
        <v>9</v>
      </c>
      <c r="J26" s="2" t="s">
        <v>796</v>
      </c>
      <c r="K26" s="2"/>
      <c r="L26" s="2" t="s">
        <v>481</v>
      </c>
      <c r="M26" s="2" t="s">
        <v>489</v>
      </c>
      <c r="N26" s="2" t="s">
        <v>614</v>
      </c>
      <c r="O26" s="2">
        <v>20</v>
      </c>
      <c r="P26" s="2">
        <v>21</v>
      </c>
      <c r="Q26" s="2">
        <v>21</v>
      </c>
      <c r="R26" s="2" t="str">
        <f>CONCATENATE(A26,"_PI.fcs")</f>
        <v>RES_1_2_1_PI.fcs</v>
      </c>
      <c r="S26" s="2" t="s">
        <v>127</v>
      </c>
      <c r="T26" s="2" t="str">
        <f>CONCATENATE(A26,"_SG.fcs")</f>
        <v>RES_1_2_1_SG.fcs</v>
      </c>
      <c r="U26" s="2" t="s">
        <v>314</v>
      </c>
    </row>
    <row r="27" spans="1:21" x14ac:dyDescent="0.25">
      <c r="A27" s="2" t="str">
        <f t="shared" si="0"/>
        <v>RES_2_2_1</v>
      </c>
      <c r="B27" s="20">
        <v>43313</v>
      </c>
      <c r="C27" s="2">
        <v>2</v>
      </c>
      <c r="D27" s="2" t="s">
        <v>1</v>
      </c>
      <c r="E27" s="2">
        <v>1</v>
      </c>
      <c r="F27" s="2">
        <v>2018</v>
      </c>
      <c r="G27" s="2">
        <v>1</v>
      </c>
      <c r="H27" s="2" t="s">
        <v>685</v>
      </c>
      <c r="I27" s="2" t="s">
        <v>9</v>
      </c>
      <c r="J27" s="2" t="s">
        <v>796</v>
      </c>
      <c r="K27" s="2"/>
      <c r="L27" s="2" t="s">
        <v>675</v>
      </c>
      <c r="M27" s="2" t="s">
        <v>493</v>
      </c>
      <c r="N27" s="2" t="s">
        <v>669</v>
      </c>
      <c r="O27" s="2">
        <v>20</v>
      </c>
      <c r="P27" s="2">
        <v>21</v>
      </c>
      <c r="Q27" s="2">
        <v>21</v>
      </c>
      <c r="R27" s="2" t="str">
        <f>CONCATENATE(A27,"_PI.fcs")</f>
        <v>RES_2_2_1_PI.fcs</v>
      </c>
      <c r="S27" s="2" t="s">
        <v>128</v>
      </c>
      <c r="T27" s="2" t="str">
        <f>CONCATENATE(A27,"_SG.fcs")</f>
        <v>RES_2_2_1_SG.fcs</v>
      </c>
      <c r="U27" s="2" t="s">
        <v>315</v>
      </c>
    </row>
    <row r="28" spans="1:21" x14ac:dyDescent="0.25">
      <c r="A28" s="2" t="str">
        <f t="shared" si="0"/>
        <v>RES_3_2_1</v>
      </c>
      <c r="B28" s="20">
        <v>43313</v>
      </c>
      <c r="C28" s="2">
        <v>2</v>
      </c>
      <c r="D28" s="2" t="s">
        <v>1</v>
      </c>
      <c r="E28" s="2">
        <v>1</v>
      </c>
      <c r="F28" s="2">
        <v>2018</v>
      </c>
      <c r="G28" s="2">
        <v>1</v>
      </c>
      <c r="H28" s="2" t="s">
        <v>686</v>
      </c>
      <c r="I28" s="2" t="s">
        <v>9</v>
      </c>
      <c r="J28" s="2" t="s">
        <v>796</v>
      </c>
      <c r="K28" s="2"/>
      <c r="L28" s="2" t="s">
        <v>629</v>
      </c>
      <c r="M28" s="2" t="s">
        <v>489</v>
      </c>
      <c r="N28" s="2" t="s">
        <v>537</v>
      </c>
      <c r="O28" s="2">
        <v>25</v>
      </c>
      <c r="P28" s="2">
        <v>27</v>
      </c>
      <c r="Q28" s="2">
        <v>26</v>
      </c>
      <c r="R28" s="2" t="str">
        <f>CONCATENATE(A28,"_PI.fcs")</f>
        <v>RES_3_2_1_PI.fcs</v>
      </c>
      <c r="S28" s="2" t="s">
        <v>130</v>
      </c>
      <c r="T28" s="2" t="str">
        <f>CONCATENATE(A28,"_SG.fcs")</f>
        <v>RES_3_2_1_SG.fcs</v>
      </c>
      <c r="U28" s="2" t="s">
        <v>317</v>
      </c>
    </row>
    <row r="29" spans="1:21" x14ac:dyDescent="0.25">
      <c r="A29" s="2" t="str">
        <f t="shared" si="0"/>
        <v>RES_4_2_1</v>
      </c>
      <c r="B29" s="20">
        <v>43313</v>
      </c>
      <c r="C29" s="2">
        <v>2</v>
      </c>
      <c r="D29" s="2" t="s">
        <v>1</v>
      </c>
      <c r="E29" s="2">
        <v>1</v>
      </c>
      <c r="F29" s="2">
        <v>2018</v>
      </c>
      <c r="G29" s="2">
        <v>1</v>
      </c>
      <c r="H29" s="2" t="s">
        <v>687</v>
      </c>
      <c r="I29" s="2" t="s">
        <v>9</v>
      </c>
      <c r="J29" s="2" t="s">
        <v>797</v>
      </c>
      <c r="K29" s="2"/>
      <c r="L29" s="2" t="s">
        <v>671</v>
      </c>
      <c r="M29" s="2" t="s">
        <v>489</v>
      </c>
      <c r="N29" s="2" t="s">
        <v>560</v>
      </c>
      <c r="O29" s="2">
        <v>22</v>
      </c>
      <c r="P29" s="2">
        <v>23</v>
      </c>
      <c r="Q29" s="2">
        <v>25</v>
      </c>
      <c r="R29" s="2" t="str">
        <f>CONCATENATE(A29,"_PI.fcs")</f>
        <v>RES_4_2_1_PI.fcs</v>
      </c>
      <c r="S29" s="2" t="s">
        <v>131</v>
      </c>
      <c r="T29" s="2" t="str">
        <f>CONCATENATE(A29,"_SG.fcs")</f>
        <v>RES_4_2_1_SG.fcs</v>
      </c>
      <c r="U29" s="2" t="s">
        <v>318</v>
      </c>
    </row>
    <row r="30" spans="1:21" x14ac:dyDescent="0.25">
      <c r="A30" s="2" t="str">
        <f t="shared" si="0"/>
        <v>RES_5_2_1</v>
      </c>
      <c r="B30" s="20">
        <v>43313</v>
      </c>
      <c r="C30" s="2">
        <v>2</v>
      </c>
      <c r="D30" s="2" t="s">
        <v>1</v>
      </c>
      <c r="E30" s="2">
        <v>1</v>
      </c>
      <c r="F30" s="2">
        <v>2018</v>
      </c>
      <c r="G30" s="2">
        <v>1</v>
      </c>
      <c r="H30" s="2" t="s">
        <v>688</v>
      </c>
      <c r="I30" s="2" t="s">
        <v>9</v>
      </c>
      <c r="J30" s="2" t="s">
        <v>798</v>
      </c>
      <c r="K30" s="2"/>
      <c r="L30" s="2" t="s">
        <v>557</v>
      </c>
      <c r="M30" s="2" t="s">
        <v>485</v>
      </c>
      <c r="N30" s="2" t="s">
        <v>609</v>
      </c>
      <c r="O30" s="2">
        <v>25</v>
      </c>
      <c r="P30" s="2">
        <v>27</v>
      </c>
      <c r="Q30" s="2">
        <v>26</v>
      </c>
      <c r="R30" s="2" t="str">
        <f>CONCATENATE(A30,"_PI.fcs")</f>
        <v>RES_5_2_1_PI.fcs</v>
      </c>
      <c r="S30" s="2" t="s">
        <v>133</v>
      </c>
      <c r="T30" s="2" t="str">
        <f>CONCATENATE(A30,"_SG.fcs")</f>
        <v>RES_5_2_1_SG.fcs</v>
      </c>
      <c r="U30" s="2" t="s">
        <v>320</v>
      </c>
    </row>
    <row r="31" spans="1:21" x14ac:dyDescent="0.25">
      <c r="A31" s="2" t="str">
        <f t="shared" si="0"/>
        <v>RES_6_2_1</v>
      </c>
      <c r="B31" s="20">
        <v>43313</v>
      </c>
      <c r="C31" s="2">
        <v>2</v>
      </c>
      <c r="D31" s="2" t="s">
        <v>1</v>
      </c>
      <c r="E31" s="2">
        <v>1</v>
      </c>
      <c r="F31" s="2">
        <v>2018</v>
      </c>
      <c r="G31" s="2">
        <v>1</v>
      </c>
      <c r="H31" s="2" t="s">
        <v>689</v>
      </c>
      <c r="I31" s="2" t="s">
        <v>9</v>
      </c>
      <c r="J31" s="2" t="s">
        <v>798</v>
      </c>
      <c r="K31" s="2"/>
      <c r="L31" s="2" t="s">
        <v>597</v>
      </c>
      <c r="M31" s="2" t="s">
        <v>508</v>
      </c>
      <c r="N31" s="2" t="s">
        <v>677</v>
      </c>
      <c r="O31" s="2">
        <v>25</v>
      </c>
      <c r="P31" s="2">
        <v>27</v>
      </c>
      <c r="Q31" s="2">
        <v>26</v>
      </c>
      <c r="R31" s="2" t="str">
        <f>CONCATENATE(A31,"_PI.fcs")</f>
        <v>RES_6_2_1_PI.fcs</v>
      </c>
      <c r="S31" s="2" t="s">
        <v>134</v>
      </c>
      <c r="T31" s="2" t="str">
        <f>CONCATENATE(A31,"_SG.fcs")</f>
        <v>RES_6_2_1_SG.fcs</v>
      </c>
      <c r="U31" s="2" t="s">
        <v>321</v>
      </c>
    </row>
    <row r="32" spans="1:21" x14ac:dyDescent="0.25">
      <c r="A32" s="2" t="str">
        <f t="shared" si="0"/>
        <v>RES_1_2_2</v>
      </c>
      <c r="B32" s="20">
        <v>43320</v>
      </c>
      <c r="C32" s="2">
        <v>2</v>
      </c>
      <c r="D32" s="2" t="s">
        <v>1</v>
      </c>
      <c r="E32" s="2">
        <v>2</v>
      </c>
      <c r="F32" s="2">
        <v>2018</v>
      </c>
      <c r="G32" s="2">
        <v>1</v>
      </c>
      <c r="H32" s="2" t="s">
        <v>684</v>
      </c>
      <c r="I32" s="2" t="s">
        <v>9</v>
      </c>
      <c r="J32" s="2" t="s">
        <v>796</v>
      </c>
      <c r="K32" s="2" t="s">
        <v>26</v>
      </c>
      <c r="L32" s="2" t="s">
        <v>488</v>
      </c>
      <c r="M32" s="2" t="s">
        <v>489</v>
      </c>
      <c r="N32" s="2" t="s">
        <v>490</v>
      </c>
      <c r="O32" s="2">
        <v>22</v>
      </c>
      <c r="P32" s="2">
        <v>21</v>
      </c>
      <c r="Q32" s="2">
        <v>24</v>
      </c>
      <c r="R32" s="2" t="str">
        <f>CONCATENATE(A32,"_PI.fcs")</f>
        <v>RES_1_2_2_PI.fcs</v>
      </c>
      <c r="S32" s="2" t="s">
        <v>138</v>
      </c>
      <c r="T32" s="2" t="str">
        <f>CONCATENATE(A32,"_SG.fcs")</f>
        <v>RES_1_2_2_SG.fcs</v>
      </c>
      <c r="U32" s="2" t="s">
        <v>325</v>
      </c>
    </row>
    <row r="33" spans="1:21" x14ac:dyDescent="0.25">
      <c r="A33" s="2" t="str">
        <f t="shared" si="0"/>
        <v>RES_2_2_2</v>
      </c>
      <c r="B33" s="20">
        <v>43320</v>
      </c>
      <c r="C33" s="2">
        <v>2</v>
      </c>
      <c r="D33" s="2" t="s">
        <v>1</v>
      </c>
      <c r="E33" s="2">
        <v>2</v>
      </c>
      <c r="F33" s="2">
        <v>2018</v>
      </c>
      <c r="G33" s="2">
        <v>1</v>
      </c>
      <c r="H33" s="2" t="s">
        <v>685</v>
      </c>
      <c r="I33" s="2" t="s">
        <v>9</v>
      </c>
      <c r="J33" s="2" t="s">
        <v>796</v>
      </c>
      <c r="K33" s="2" t="s">
        <v>36</v>
      </c>
      <c r="L33" s="2" t="s">
        <v>518</v>
      </c>
      <c r="M33" s="2" t="s">
        <v>519</v>
      </c>
      <c r="N33" s="2" t="s">
        <v>520</v>
      </c>
      <c r="O33" s="2">
        <v>22</v>
      </c>
      <c r="P33" s="2">
        <v>21</v>
      </c>
      <c r="Q33" s="2">
        <v>24</v>
      </c>
      <c r="R33" s="2" t="str">
        <f>CONCATENATE(A33,"_PI.fcs")</f>
        <v>RES_2_2_2_PI.fcs</v>
      </c>
      <c r="S33" s="2" t="s">
        <v>139</v>
      </c>
      <c r="T33" s="2" t="str">
        <f>CONCATENATE(A33,"_SG.fcs")</f>
        <v>RES_2_2_2_SG.fcs</v>
      </c>
      <c r="U33" s="2" t="s">
        <v>326</v>
      </c>
    </row>
    <row r="34" spans="1:21" x14ac:dyDescent="0.25">
      <c r="A34" s="2" t="str">
        <f t="shared" ref="A34:A65" si="1">CONCATENATE(H34,"_",C34,"_",E34)</f>
        <v>RES_3_2_2</v>
      </c>
      <c r="B34" s="20">
        <v>43320</v>
      </c>
      <c r="C34" s="2">
        <v>2</v>
      </c>
      <c r="D34" s="2" t="s">
        <v>1</v>
      </c>
      <c r="E34" s="2">
        <v>2</v>
      </c>
      <c r="F34" s="2">
        <v>2018</v>
      </c>
      <c r="G34" s="2">
        <v>1</v>
      </c>
      <c r="H34" s="2" t="s">
        <v>686</v>
      </c>
      <c r="I34" s="2" t="s">
        <v>9</v>
      </c>
      <c r="J34" s="2" t="s">
        <v>796</v>
      </c>
      <c r="K34" s="2"/>
      <c r="L34" s="2" t="s">
        <v>551</v>
      </c>
      <c r="M34" s="2" t="s">
        <v>552</v>
      </c>
      <c r="N34" s="2" t="s">
        <v>554</v>
      </c>
      <c r="O34" s="2">
        <v>27</v>
      </c>
      <c r="P34" s="2">
        <v>26</v>
      </c>
      <c r="Q34" s="2">
        <v>29</v>
      </c>
      <c r="R34" s="2" t="str">
        <f>CONCATENATE(A34,"_PI.fcs")</f>
        <v>RES_3_2_2_PI.fcs</v>
      </c>
      <c r="S34" s="2" t="s">
        <v>140</v>
      </c>
      <c r="T34" s="2" t="str">
        <f>CONCATENATE(A34,"_SG.fcs")</f>
        <v>RES_3_2_2_SG.fcs</v>
      </c>
      <c r="U34" s="2" t="s">
        <v>327</v>
      </c>
    </row>
    <row r="35" spans="1:21" x14ac:dyDescent="0.25">
      <c r="A35" s="2" t="str">
        <f t="shared" si="1"/>
        <v>RES_4_2_2</v>
      </c>
      <c r="B35" s="20">
        <v>43320</v>
      </c>
      <c r="C35" s="2">
        <v>2</v>
      </c>
      <c r="D35" s="2" t="s">
        <v>1</v>
      </c>
      <c r="E35" s="2">
        <v>2</v>
      </c>
      <c r="F35" s="2">
        <v>2018</v>
      </c>
      <c r="G35" s="2">
        <v>1</v>
      </c>
      <c r="H35" s="2" t="s">
        <v>687</v>
      </c>
      <c r="I35" s="2" t="s">
        <v>9</v>
      </c>
      <c r="J35" s="2" t="s">
        <v>797</v>
      </c>
      <c r="K35" s="2" t="s">
        <v>59</v>
      </c>
      <c r="L35" s="2" t="s">
        <v>629</v>
      </c>
      <c r="M35" s="2" t="s">
        <v>630</v>
      </c>
      <c r="N35" s="2" t="s">
        <v>608</v>
      </c>
      <c r="O35" s="2">
        <v>24</v>
      </c>
      <c r="P35" s="2">
        <v>24</v>
      </c>
      <c r="Q35" s="2">
        <v>25</v>
      </c>
      <c r="R35" s="2" t="str">
        <f>CONCATENATE(A35,"_PI.fcs")</f>
        <v>RES_4_2_2_PI.fcs</v>
      </c>
      <c r="S35" s="2" t="s">
        <v>141</v>
      </c>
      <c r="T35" s="2" t="str">
        <f>CONCATENATE(A35,"_SG.fcs")</f>
        <v>RES_4_2_2_SG.fcs</v>
      </c>
      <c r="U35" s="2" t="s">
        <v>478</v>
      </c>
    </row>
    <row r="36" spans="1:21" x14ac:dyDescent="0.25">
      <c r="A36" s="2" t="str">
        <f t="shared" si="1"/>
        <v>RES_5_2_2</v>
      </c>
      <c r="B36" s="20">
        <v>43320</v>
      </c>
      <c r="C36" s="2">
        <v>2</v>
      </c>
      <c r="D36" s="2" t="s">
        <v>1</v>
      </c>
      <c r="E36" s="2">
        <v>2</v>
      </c>
      <c r="F36" s="2">
        <v>2018</v>
      </c>
      <c r="G36" s="2">
        <v>1</v>
      </c>
      <c r="H36" s="2" t="s">
        <v>688</v>
      </c>
      <c r="I36" s="2" t="s">
        <v>9</v>
      </c>
      <c r="J36" s="2" t="s">
        <v>798</v>
      </c>
      <c r="K36" s="2" t="s">
        <v>68</v>
      </c>
      <c r="L36" s="2" t="s">
        <v>584</v>
      </c>
      <c r="M36" s="2" t="s">
        <v>564</v>
      </c>
      <c r="N36" s="2" t="s">
        <v>585</v>
      </c>
      <c r="O36" s="2">
        <v>27</v>
      </c>
      <c r="P36" s="2">
        <v>26</v>
      </c>
      <c r="Q36" s="2">
        <v>29</v>
      </c>
      <c r="R36" s="2" t="str">
        <f>CONCATENATE(A36,"_PI.fcs")</f>
        <v>RES_5_2_2_PI.fcs</v>
      </c>
      <c r="S36" s="2" t="s">
        <v>142</v>
      </c>
      <c r="T36" s="2" t="str">
        <f>CONCATENATE(A36,"_SG.fcs")</f>
        <v>RES_5_2_2_SG.fcs</v>
      </c>
      <c r="U36" s="2" t="s">
        <v>328</v>
      </c>
    </row>
    <row r="37" spans="1:21" x14ac:dyDescent="0.25">
      <c r="A37" s="2" t="str">
        <f t="shared" si="1"/>
        <v>RES_6_2_2</v>
      </c>
      <c r="B37" s="20">
        <v>43320</v>
      </c>
      <c r="C37" s="2">
        <v>2</v>
      </c>
      <c r="D37" s="2" t="s">
        <v>1</v>
      </c>
      <c r="E37" s="2">
        <v>2</v>
      </c>
      <c r="F37" s="2">
        <v>2018</v>
      </c>
      <c r="G37" s="2">
        <v>1</v>
      </c>
      <c r="H37" s="2" t="s">
        <v>689</v>
      </c>
      <c r="I37" s="2" t="s">
        <v>9</v>
      </c>
      <c r="J37" s="2" t="s">
        <v>798</v>
      </c>
      <c r="K37" s="2"/>
      <c r="L37" s="2" t="s">
        <v>482</v>
      </c>
      <c r="M37" s="2" t="s">
        <v>482</v>
      </c>
      <c r="N37" s="2" t="s">
        <v>612</v>
      </c>
      <c r="O37" s="2">
        <v>27</v>
      </c>
      <c r="P37" s="2">
        <v>26</v>
      </c>
      <c r="Q37" s="2">
        <v>29</v>
      </c>
      <c r="R37" s="2" t="str">
        <f>CONCATENATE(A37,"_PI.fcs")</f>
        <v>RES_6_2_2_PI.fcs</v>
      </c>
      <c r="S37" s="2" t="s">
        <v>143</v>
      </c>
      <c r="T37" s="2" t="str">
        <f>CONCATENATE(A37,"_SG.fcs")</f>
        <v>RES_6_2_2_SG.fcs</v>
      </c>
      <c r="U37" s="2" t="s">
        <v>329</v>
      </c>
    </row>
    <row r="38" spans="1:21" x14ac:dyDescent="0.25">
      <c r="A38" s="2" t="str">
        <f t="shared" si="1"/>
        <v>COM_1_2_2</v>
      </c>
      <c r="B38" s="20">
        <v>43327</v>
      </c>
      <c r="C38" s="2">
        <v>2</v>
      </c>
      <c r="D38" s="2" t="s">
        <v>1</v>
      </c>
      <c r="E38" s="2">
        <v>2</v>
      </c>
      <c r="F38" s="2">
        <v>2018</v>
      </c>
      <c r="G38" s="2">
        <v>2</v>
      </c>
      <c r="H38" s="2" t="s">
        <v>690</v>
      </c>
      <c r="I38" s="2" t="s">
        <v>10</v>
      </c>
      <c r="J38" s="2" t="s">
        <v>796</v>
      </c>
      <c r="K38" s="2" t="s">
        <v>15</v>
      </c>
      <c r="L38" s="2" t="s">
        <v>482</v>
      </c>
      <c r="M38" s="2" t="s">
        <v>482</v>
      </c>
      <c r="N38" s="2" t="s">
        <v>565</v>
      </c>
      <c r="O38" s="2">
        <v>22</v>
      </c>
      <c r="P38" s="2">
        <v>29</v>
      </c>
      <c r="Q38" s="2">
        <v>30</v>
      </c>
      <c r="R38" s="2" t="str">
        <f>CONCATENATE(A38,"_PI.fcs")</f>
        <v>COM_1_2_2_PI.fcs</v>
      </c>
      <c r="S38" s="2" t="s">
        <v>144</v>
      </c>
      <c r="T38" s="2" t="str">
        <f>CONCATENATE(A38,"_SG.fcs")</f>
        <v>COM_1_2_2_SG.fcs</v>
      </c>
      <c r="U38" s="2" t="s">
        <v>330</v>
      </c>
    </row>
    <row r="39" spans="1:21" x14ac:dyDescent="0.25">
      <c r="A39" s="2" t="str">
        <f t="shared" si="1"/>
        <v>COM_2_2_2</v>
      </c>
      <c r="B39" s="20">
        <v>43327</v>
      </c>
      <c r="C39" s="2">
        <v>2</v>
      </c>
      <c r="D39" s="2" t="s">
        <v>1</v>
      </c>
      <c r="E39" s="2">
        <v>2</v>
      </c>
      <c r="F39" s="2">
        <v>2018</v>
      </c>
      <c r="G39" s="2">
        <v>2</v>
      </c>
      <c r="H39" s="2" t="s">
        <v>692</v>
      </c>
      <c r="I39" s="2" t="s">
        <v>10</v>
      </c>
      <c r="J39" s="2" t="s">
        <v>796</v>
      </c>
      <c r="K39" s="2"/>
      <c r="L39" s="2" t="s">
        <v>646</v>
      </c>
      <c r="M39" s="2" t="s">
        <v>496</v>
      </c>
      <c r="N39" s="2" t="s">
        <v>647</v>
      </c>
      <c r="O39" s="2">
        <v>22</v>
      </c>
      <c r="P39" s="2">
        <v>29</v>
      </c>
      <c r="Q39" s="2">
        <v>30</v>
      </c>
      <c r="R39" s="2" t="str">
        <f>CONCATENATE(A39,"_PI.fcs")</f>
        <v>COM_2_2_2_PI.fcs</v>
      </c>
      <c r="S39" s="2" t="s">
        <v>146</v>
      </c>
      <c r="T39" s="2" t="str">
        <f>CONCATENATE(A39,"_SG.fcs")</f>
        <v>COM_2_2_2_SG.fcs</v>
      </c>
      <c r="U39" s="2" t="s">
        <v>332</v>
      </c>
    </row>
    <row r="40" spans="1:21" x14ac:dyDescent="0.25">
      <c r="A40" s="2" t="str">
        <f t="shared" si="1"/>
        <v>HOUSE_1_2_2</v>
      </c>
      <c r="B40" s="20">
        <v>43327</v>
      </c>
      <c r="C40" s="2">
        <v>2</v>
      </c>
      <c r="D40" s="2" t="s">
        <v>1</v>
      </c>
      <c r="E40" s="2">
        <v>2</v>
      </c>
      <c r="F40" s="2">
        <v>2018</v>
      </c>
      <c r="G40" s="2">
        <v>2</v>
      </c>
      <c r="H40" s="2" t="s">
        <v>691</v>
      </c>
      <c r="I40" s="2" t="s">
        <v>11</v>
      </c>
      <c r="J40" s="2" t="s">
        <v>796</v>
      </c>
      <c r="K40" s="2" t="s">
        <v>51</v>
      </c>
      <c r="L40" s="2" t="s">
        <v>548</v>
      </c>
      <c r="M40" s="2" t="s">
        <v>483</v>
      </c>
      <c r="N40" s="2" t="s">
        <v>659</v>
      </c>
      <c r="O40" s="2">
        <v>22</v>
      </c>
      <c r="P40" s="2">
        <v>29</v>
      </c>
      <c r="Q40" s="2">
        <v>30</v>
      </c>
      <c r="R40" s="2" t="str">
        <f>CONCATENATE(A40,"_PI.fcs")</f>
        <v>HOUSE_1_2_2_PI.fcs</v>
      </c>
      <c r="S40" s="2" t="s">
        <v>145</v>
      </c>
      <c r="T40" s="2" t="str">
        <f>CONCATENATE(A40,"_SG.fcs")</f>
        <v>HOUSE_1_2_2_SG.fcs</v>
      </c>
      <c r="U40" s="2" t="s">
        <v>331</v>
      </c>
    </row>
    <row r="41" spans="1:21" x14ac:dyDescent="0.25">
      <c r="A41" s="2" t="str">
        <f t="shared" si="1"/>
        <v>HOUSE_2_2_2</v>
      </c>
      <c r="B41" s="20">
        <v>43327</v>
      </c>
      <c r="C41" s="2">
        <v>2</v>
      </c>
      <c r="D41" s="2" t="s">
        <v>1</v>
      </c>
      <c r="E41" s="2">
        <v>2</v>
      </c>
      <c r="F41" s="2">
        <v>2018</v>
      </c>
      <c r="G41" s="2">
        <v>2</v>
      </c>
      <c r="H41" s="2" t="s">
        <v>693</v>
      </c>
      <c r="I41" s="2" t="s">
        <v>11</v>
      </c>
      <c r="J41" s="2" t="s">
        <v>796</v>
      </c>
      <c r="K41" s="2" t="s">
        <v>81</v>
      </c>
      <c r="L41" s="2" t="s">
        <v>539</v>
      </c>
      <c r="M41" s="2" t="s">
        <v>485</v>
      </c>
      <c r="N41" s="2" t="s">
        <v>662</v>
      </c>
      <c r="O41" s="2">
        <v>22</v>
      </c>
      <c r="P41" s="2">
        <v>29</v>
      </c>
      <c r="Q41" s="2">
        <v>30</v>
      </c>
      <c r="R41" s="2" t="str">
        <f>CONCATENATE(A41,"_PI.fcs")</f>
        <v>HOUSE_2_2_2_PI.fcs</v>
      </c>
      <c r="S41" s="2" t="s">
        <v>147</v>
      </c>
      <c r="T41" s="2" t="str">
        <f>CONCATENATE(A41,"_SG.fcs")</f>
        <v>HOUSE_2_2_2_SG.fcs</v>
      </c>
      <c r="U41" s="2" t="s">
        <v>333</v>
      </c>
    </row>
    <row r="42" spans="1:21" x14ac:dyDescent="0.25">
      <c r="A42" s="2" t="str">
        <f t="shared" si="1"/>
        <v>HOUSE_3_2_2</v>
      </c>
      <c r="B42" s="20">
        <v>43327</v>
      </c>
      <c r="C42" s="2">
        <v>2</v>
      </c>
      <c r="D42" s="2" t="s">
        <v>1</v>
      </c>
      <c r="E42" s="2">
        <v>2</v>
      </c>
      <c r="F42" s="2">
        <v>2018</v>
      </c>
      <c r="G42" s="2">
        <v>2</v>
      </c>
      <c r="H42" s="2" t="s">
        <v>694</v>
      </c>
      <c r="I42" s="2" t="s">
        <v>11</v>
      </c>
      <c r="J42" s="2" t="s">
        <v>796</v>
      </c>
      <c r="K42" s="2" t="s">
        <v>94</v>
      </c>
      <c r="L42" s="2" t="s">
        <v>524</v>
      </c>
      <c r="M42" s="2" t="s">
        <v>491</v>
      </c>
      <c r="N42" s="2" t="s">
        <v>656</v>
      </c>
      <c r="O42" s="2">
        <v>22</v>
      </c>
      <c r="P42" s="2">
        <v>29</v>
      </c>
      <c r="Q42" s="2">
        <v>30</v>
      </c>
      <c r="R42" s="2" t="str">
        <f>CONCATENATE(A42,"_PI.fcs")</f>
        <v>HOUSE_3_2_2_PI.fcs</v>
      </c>
      <c r="S42" s="2" t="s">
        <v>148</v>
      </c>
      <c r="T42" s="2" t="str">
        <f>CONCATENATE(A42,"_SG.fcs")</f>
        <v>HOUSE_3_2_2_SG.fcs</v>
      </c>
      <c r="U42" s="2" t="s">
        <v>334</v>
      </c>
    </row>
    <row r="43" spans="1:21" x14ac:dyDescent="0.25">
      <c r="A43" s="2" t="str">
        <f t="shared" si="1"/>
        <v>HOUSE_4_2_2</v>
      </c>
      <c r="B43" s="20">
        <v>43327</v>
      </c>
      <c r="C43" s="2">
        <v>2</v>
      </c>
      <c r="D43" s="2" t="s">
        <v>1</v>
      </c>
      <c r="E43" s="2">
        <v>2</v>
      </c>
      <c r="F43" s="2">
        <v>2018</v>
      </c>
      <c r="G43" s="2">
        <v>2</v>
      </c>
      <c r="H43" s="2" t="s">
        <v>695</v>
      </c>
      <c r="I43" s="2" t="s">
        <v>11</v>
      </c>
      <c r="J43" s="2" t="s">
        <v>796</v>
      </c>
      <c r="K43" s="2" t="s">
        <v>99</v>
      </c>
      <c r="L43" s="2" t="s">
        <v>536</v>
      </c>
      <c r="M43" s="2" t="s">
        <v>491</v>
      </c>
      <c r="N43" s="2" t="s">
        <v>670</v>
      </c>
      <c r="O43" s="2">
        <v>22</v>
      </c>
      <c r="P43" s="2">
        <v>29</v>
      </c>
      <c r="Q43" s="2">
        <v>30</v>
      </c>
      <c r="R43" s="2" t="str">
        <f>CONCATENATE(A43,"_PI.fcs")</f>
        <v>HOUSE_4_2_2_PI.fcs</v>
      </c>
      <c r="S43" s="2" t="s">
        <v>149</v>
      </c>
      <c r="T43" s="2" t="str">
        <f>CONCATENATE(A43,"_SG.fcs")</f>
        <v>HOUSE_4_2_2_SG.fcs</v>
      </c>
      <c r="U43" s="2" t="s">
        <v>335</v>
      </c>
    </row>
    <row r="44" spans="1:21" x14ac:dyDescent="0.25">
      <c r="A44" s="2" t="str">
        <f t="shared" si="1"/>
        <v>RES_1_2_3</v>
      </c>
      <c r="B44" s="20">
        <v>43334</v>
      </c>
      <c r="C44" s="2">
        <v>2</v>
      </c>
      <c r="D44" s="2" t="s">
        <v>1</v>
      </c>
      <c r="E44" s="2">
        <v>3</v>
      </c>
      <c r="F44" s="2">
        <v>2018</v>
      </c>
      <c r="G44" s="2">
        <v>3</v>
      </c>
      <c r="H44" s="2" t="s">
        <v>684</v>
      </c>
      <c r="I44" s="2" t="s">
        <v>9</v>
      </c>
      <c r="J44" s="2" t="s">
        <v>796</v>
      </c>
      <c r="K44" s="2" t="s">
        <v>27</v>
      </c>
      <c r="L44" s="2" t="s">
        <v>491</v>
      </c>
      <c r="M44" s="2" t="s">
        <v>489</v>
      </c>
      <c r="N44" s="2" t="s">
        <v>669</v>
      </c>
      <c r="O44" s="2">
        <v>20</v>
      </c>
      <c r="P44" s="2">
        <v>25</v>
      </c>
      <c r="Q44" s="2">
        <v>28</v>
      </c>
      <c r="R44" s="2" t="str">
        <f>CONCATENATE(A44,"_PI.fcs")</f>
        <v>RES_1_2_3_PI.fcs</v>
      </c>
      <c r="S44" s="2" t="s">
        <v>150</v>
      </c>
      <c r="T44" s="2" t="str">
        <f>CONCATENATE(A44,"_SG.fcs")</f>
        <v>RES_1_2_3_SG.fcs</v>
      </c>
      <c r="U44" s="2" t="s">
        <v>336</v>
      </c>
    </row>
    <row r="45" spans="1:21" x14ac:dyDescent="0.25">
      <c r="A45" s="2" t="str">
        <f t="shared" si="1"/>
        <v>RES_2_2_3</v>
      </c>
      <c r="B45" s="20">
        <v>43334</v>
      </c>
      <c r="C45" s="2">
        <v>2</v>
      </c>
      <c r="D45" s="2" t="s">
        <v>1</v>
      </c>
      <c r="E45" s="2">
        <v>3</v>
      </c>
      <c r="F45" s="2">
        <v>2018</v>
      </c>
      <c r="G45" s="2">
        <v>3</v>
      </c>
      <c r="H45" s="2" t="s">
        <v>685</v>
      </c>
      <c r="I45" s="2" t="s">
        <v>9</v>
      </c>
      <c r="J45" s="2" t="s">
        <v>796</v>
      </c>
      <c r="K45" s="2" t="s">
        <v>37</v>
      </c>
      <c r="L45" s="2" t="s">
        <v>521</v>
      </c>
      <c r="M45" s="2" t="s">
        <v>522</v>
      </c>
      <c r="N45" s="2" t="s">
        <v>523</v>
      </c>
      <c r="O45" s="2">
        <v>20</v>
      </c>
      <c r="P45" s="2">
        <v>25</v>
      </c>
      <c r="Q45" s="2">
        <v>28</v>
      </c>
      <c r="R45" s="2" t="str">
        <f>CONCATENATE(A45,"_PI.fcs")</f>
        <v>RES_2_2_3_PI.fcs</v>
      </c>
      <c r="S45" s="2" t="s">
        <v>151</v>
      </c>
      <c r="T45" s="2" t="str">
        <f>CONCATENATE(A45,"_SG.fcs")</f>
        <v>RES_2_2_3_SG.fcs</v>
      </c>
      <c r="U45" s="2" t="s">
        <v>337</v>
      </c>
    </row>
    <row r="46" spans="1:21" x14ac:dyDescent="0.25">
      <c r="A46" s="2" t="str">
        <f t="shared" si="1"/>
        <v>RES_3_2_2</v>
      </c>
      <c r="B46" s="20">
        <v>43334</v>
      </c>
      <c r="C46" s="2">
        <v>2</v>
      </c>
      <c r="D46" s="2" t="s">
        <v>1</v>
      </c>
      <c r="E46" s="2">
        <v>2</v>
      </c>
      <c r="F46" s="2">
        <v>2018</v>
      </c>
      <c r="G46" s="2">
        <v>3</v>
      </c>
      <c r="H46" s="2" t="s">
        <v>686</v>
      </c>
      <c r="I46" s="2" t="s">
        <v>9</v>
      </c>
      <c r="J46" s="2" t="s">
        <v>796</v>
      </c>
      <c r="K46" s="2"/>
      <c r="L46" s="2" t="s">
        <v>555</v>
      </c>
      <c r="M46" s="2" t="s">
        <v>556</v>
      </c>
      <c r="N46" s="2" t="s">
        <v>558</v>
      </c>
      <c r="O46" s="2">
        <v>24</v>
      </c>
      <c r="P46" s="2">
        <v>28</v>
      </c>
      <c r="Q46" s="2">
        <v>31</v>
      </c>
      <c r="R46" s="2" t="str">
        <f>CONCATENATE(A46,"_PI.fcs")</f>
        <v>RES_3_2_2_PI.fcs</v>
      </c>
      <c r="S46" s="2" t="s">
        <v>152</v>
      </c>
      <c r="T46" s="2" t="str">
        <f>CONCATENATE(A46,"_SG.fcs")</f>
        <v>RES_3_2_2_SG.fcs</v>
      </c>
      <c r="U46" s="2" t="s">
        <v>338</v>
      </c>
    </row>
    <row r="47" spans="1:21" x14ac:dyDescent="0.25">
      <c r="A47" s="2" t="str">
        <f t="shared" si="1"/>
        <v>RES_4_2_3</v>
      </c>
      <c r="B47" s="20">
        <v>43334</v>
      </c>
      <c r="C47" s="2">
        <v>2</v>
      </c>
      <c r="D47" s="2" t="s">
        <v>1</v>
      </c>
      <c r="E47" s="2">
        <v>3</v>
      </c>
      <c r="F47" s="2">
        <v>2018</v>
      </c>
      <c r="G47" s="2">
        <v>3</v>
      </c>
      <c r="H47" s="2" t="s">
        <v>687</v>
      </c>
      <c r="I47" s="2" t="s">
        <v>9</v>
      </c>
      <c r="J47" s="2" t="s">
        <v>797</v>
      </c>
      <c r="K47" s="2"/>
      <c r="L47" s="2" t="s">
        <v>621</v>
      </c>
      <c r="M47" s="2" t="s">
        <v>631</v>
      </c>
      <c r="N47" s="2" t="s">
        <v>537</v>
      </c>
      <c r="O47" s="2">
        <v>23</v>
      </c>
      <c r="P47" s="2">
        <v>27</v>
      </c>
      <c r="Q47" s="2">
        <v>28</v>
      </c>
      <c r="R47" s="2" t="str">
        <f>CONCATENATE(A47,"_PI.fcs")</f>
        <v>RES_4_2_3_PI.fcs</v>
      </c>
      <c r="S47" s="2" t="s">
        <v>293</v>
      </c>
      <c r="T47" s="2" t="str">
        <f>CONCATENATE(A47,"_SG.fcs")</f>
        <v>RES_4_2_3_SG.fcs</v>
      </c>
      <c r="U47" s="2" t="s">
        <v>479</v>
      </c>
    </row>
    <row r="48" spans="1:21" x14ac:dyDescent="0.25">
      <c r="A48" s="2" t="str">
        <f t="shared" si="1"/>
        <v>RES_5_2_3</v>
      </c>
      <c r="B48" s="20">
        <v>43334</v>
      </c>
      <c r="C48" s="2">
        <v>2</v>
      </c>
      <c r="D48" s="2" t="s">
        <v>1</v>
      </c>
      <c r="E48" s="2">
        <v>3</v>
      </c>
      <c r="F48" s="2">
        <v>2018</v>
      </c>
      <c r="G48" s="2">
        <v>3</v>
      </c>
      <c r="H48" s="2" t="s">
        <v>688</v>
      </c>
      <c r="I48" s="2" t="s">
        <v>9</v>
      </c>
      <c r="J48" s="2" t="s">
        <v>798</v>
      </c>
      <c r="K48" s="2"/>
      <c r="L48" s="2" t="s">
        <v>586</v>
      </c>
      <c r="M48" s="2" t="s">
        <v>587</v>
      </c>
      <c r="N48" s="2" t="s">
        <v>520</v>
      </c>
      <c r="O48" s="2">
        <v>24</v>
      </c>
      <c r="P48" s="2">
        <v>28</v>
      </c>
      <c r="Q48" s="2">
        <v>31</v>
      </c>
      <c r="R48" s="2" t="str">
        <f>CONCATENATE(A48,"_PI.fcs")</f>
        <v>RES_5_2_3_PI.fcs</v>
      </c>
      <c r="S48" s="2" t="s">
        <v>153</v>
      </c>
      <c r="T48" s="2" t="str">
        <f>CONCATENATE(A48,"_SG.fcs")</f>
        <v>RES_5_2_3_SG.fcs</v>
      </c>
      <c r="U48" s="2" t="s">
        <v>339</v>
      </c>
    </row>
    <row r="49" spans="1:21" x14ac:dyDescent="0.25">
      <c r="A49" s="2" t="str">
        <f t="shared" si="1"/>
        <v>RES_6_2_3</v>
      </c>
      <c r="B49" s="20">
        <v>43334</v>
      </c>
      <c r="C49" s="2">
        <v>2</v>
      </c>
      <c r="D49" s="2" t="s">
        <v>1</v>
      </c>
      <c r="E49" s="2">
        <v>3</v>
      </c>
      <c r="F49" s="2">
        <v>2018</v>
      </c>
      <c r="G49" s="2">
        <v>3</v>
      </c>
      <c r="H49" s="2" t="s">
        <v>689</v>
      </c>
      <c r="I49" s="2" t="s">
        <v>9</v>
      </c>
      <c r="J49" s="2" t="s">
        <v>798</v>
      </c>
      <c r="K49" s="2" t="s">
        <v>73</v>
      </c>
      <c r="L49" s="2" t="s">
        <v>498</v>
      </c>
      <c r="M49" s="2" t="s">
        <v>488</v>
      </c>
      <c r="N49" s="2" t="s">
        <v>532</v>
      </c>
      <c r="O49" s="2">
        <v>24</v>
      </c>
      <c r="P49" s="2">
        <v>28</v>
      </c>
      <c r="Q49" s="2">
        <v>31</v>
      </c>
      <c r="R49" s="2" t="str">
        <f>CONCATENATE(A49,"_PI.fcs")</f>
        <v>RES_6_2_3_PI.fcs</v>
      </c>
      <c r="S49" s="2" t="s">
        <v>154</v>
      </c>
      <c r="T49" s="2" t="str">
        <f>CONCATENATE(A49,"_SG.fcs")</f>
        <v>RES_6_2_3_SG.fcs</v>
      </c>
      <c r="U49" s="2" t="s">
        <v>340</v>
      </c>
    </row>
    <row r="50" spans="1:21" x14ac:dyDescent="0.25">
      <c r="A50" s="2" t="str">
        <f t="shared" si="1"/>
        <v>COM_1_2_3</v>
      </c>
      <c r="B50" s="20">
        <v>43341</v>
      </c>
      <c r="C50" s="2">
        <v>2</v>
      </c>
      <c r="D50" s="2" t="s">
        <v>1</v>
      </c>
      <c r="E50" s="2">
        <v>3</v>
      </c>
      <c r="F50" s="2">
        <v>2018</v>
      </c>
      <c r="G50" s="2">
        <v>4</v>
      </c>
      <c r="H50" s="2" t="s">
        <v>690</v>
      </c>
      <c r="I50" s="2" t="s">
        <v>10</v>
      </c>
      <c r="J50" s="2" t="s">
        <v>796</v>
      </c>
      <c r="K50" s="2" t="s">
        <v>16</v>
      </c>
      <c r="L50" s="2" t="s">
        <v>493</v>
      </c>
      <c r="M50" s="2" t="s">
        <v>489</v>
      </c>
      <c r="N50" s="2" t="s">
        <v>541</v>
      </c>
      <c r="O50" s="2">
        <v>29</v>
      </c>
      <c r="P50" s="2">
        <v>22</v>
      </c>
      <c r="Q50" s="2">
        <v>23</v>
      </c>
      <c r="R50" s="2" t="str">
        <f>CONCATENATE(A50,"_PI.fcs")</f>
        <v>COM_1_2_3_PI.fcs</v>
      </c>
      <c r="S50" s="2" t="s">
        <v>155</v>
      </c>
      <c r="T50" s="2" t="str">
        <f>CONCATENATE(A50,"_SG.fcs")</f>
        <v>COM_1_2_3_SG.fcs</v>
      </c>
      <c r="U50" s="2" t="s">
        <v>341</v>
      </c>
    </row>
    <row r="51" spans="1:21" x14ac:dyDescent="0.25">
      <c r="A51" s="2" t="str">
        <f t="shared" si="1"/>
        <v>COM_2_2_3</v>
      </c>
      <c r="B51" s="20">
        <v>43341</v>
      </c>
      <c r="C51" s="2">
        <v>2</v>
      </c>
      <c r="D51" s="2" t="s">
        <v>1</v>
      </c>
      <c r="E51" s="2">
        <v>3</v>
      </c>
      <c r="F51" s="2">
        <v>2018</v>
      </c>
      <c r="G51" s="2">
        <v>4</v>
      </c>
      <c r="H51" s="2" t="s">
        <v>692</v>
      </c>
      <c r="I51" s="2" t="s">
        <v>10</v>
      </c>
      <c r="J51" s="2" t="s">
        <v>796</v>
      </c>
      <c r="K51" s="2" t="s">
        <v>64</v>
      </c>
      <c r="L51" s="2" t="s">
        <v>621</v>
      </c>
      <c r="M51" s="2" t="s">
        <v>493</v>
      </c>
      <c r="N51" s="2" t="s">
        <v>558</v>
      </c>
      <c r="O51" s="2">
        <v>29</v>
      </c>
      <c r="P51" s="2">
        <v>22</v>
      </c>
      <c r="Q51" s="2">
        <v>23</v>
      </c>
      <c r="R51" s="2" t="str">
        <f>CONCATENATE(A51,"_PI.fcs")</f>
        <v>COM_2_2_3_PI.fcs</v>
      </c>
      <c r="S51" s="2" t="s">
        <v>157</v>
      </c>
      <c r="T51" s="2" t="str">
        <f>CONCATENATE(A51,"_SG.fcs")</f>
        <v>COM_2_2_3_SG.fcs</v>
      </c>
      <c r="U51" s="2" t="s">
        <v>343</v>
      </c>
    </row>
    <row r="52" spans="1:21" x14ac:dyDescent="0.25">
      <c r="A52" s="2" t="str">
        <f t="shared" si="1"/>
        <v>HOUSE_1_2_3</v>
      </c>
      <c r="B52" s="20">
        <v>43341</v>
      </c>
      <c r="C52" s="2">
        <v>2</v>
      </c>
      <c r="D52" s="2" t="s">
        <v>1</v>
      </c>
      <c r="E52" s="2">
        <v>3</v>
      </c>
      <c r="F52" s="2">
        <v>2018</v>
      </c>
      <c r="G52" s="2">
        <v>4</v>
      </c>
      <c r="H52" s="2" t="s">
        <v>691</v>
      </c>
      <c r="I52" s="2" t="s">
        <v>11</v>
      </c>
      <c r="J52" s="2" t="s">
        <v>796</v>
      </c>
      <c r="K52" s="2" t="s">
        <v>52</v>
      </c>
      <c r="L52" s="2" t="s">
        <v>618</v>
      </c>
      <c r="M52" s="2" t="s">
        <v>485</v>
      </c>
      <c r="N52" s="2" t="s">
        <v>634</v>
      </c>
      <c r="O52" s="2">
        <v>29</v>
      </c>
      <c r="P52" s="2">
        <v>22</v>
      </c>
      <c r="Q52" s="2">
        <v>23</v>
      </c>
      <c r="R52" s="2" t="str">
        <f>CONCATENATE(A52,"_PI.fcs")</f>
        <v>HOUSE_1_2_3_PI.fcs</v>
      </c>
      <c r="S52" s="2" t="s">
        <v>156</v>
      </c>
      <c r="T52" s="2" t="str">
        <f>CONCATENATE(A52,"_SG.fcs")</f>
        <v>HOUSE_1_2_3_SG.fcs</v>
      </c>
      <c r="U52" s="2" t="s">
        <v>342</v>
      </c>
    </row>
    <row r="53" spans="1:21" x14ac:dyDescent="0.25">
      <c r="A53" s="2" t="str">
        <f t="shared" si="1"/>
        <v>HOUSE_2_2_3</v>
      </c>
      <c r="B53" s="20">
        <v>43341</v>
      </c>
      <c r="C53" s="2">
        <v>2</v>
      </c>
      <c r="D53" s="2" t="s">
        <v>1</v>
      </c>
      <c r="E53" s="2">
        <v>3</v>
      </c>
      <c r="F53" s="2">
        <v>2018</v>
      </c>
      <c r="G53" s="2">
        <v>4</v>
      </c>
      <c r="H53" s="2" t="s">
        <v>693</v>
      </c>
      <c r="I53" s="2" t="s">
        <v>11</v>
      </c>
      <c r="J53" s="2" t="s">
        <v>796</v>
      </c>
      <c r="K53" s="2" t="s">
        <v>82</v>
      </c>
      <c r="L53" s="2" t="s">
        <v>596</v>
      </c>
      <c r="M53" s="2" t="s">
        <v>496</v>
      </c>
      <c r="N53" s="2" t="s">
        <v>590</v>
      </c>
      <c r="O53" s="2">
        <v>29</v>
      </c>
      <c r="P53" s="2">
        <v>22</v>
      </c>
      <c r="Q53" s="2">
        <v>23</v>
      </c>
      <c r="R53" s="2" t="str">
        <f>CONCATENATE(A53,"_PI.fcs")</f>
        <v>HOUSE_2_2_3_PI.fcs</v>
      </c>
      <c r="S53" s="2" t="s">
        <v>158</v>
      </c>
      <c r="T53" s="2" t="str">
        <f>CONCATENATE(A53,"_SG.fcs")</f>
        <v>HOUSE_2_2_3_SG.fcs</v>
      </c>
      <c r="U53" s="2" t="s">
        <v>344</v>
      </c>
    </row>
    <row r="54" spans="1:21" x14ac:dyDescent="0.25">
      <c r="A54" s="2" t="str">
        <f t="shared" si="1"/>
        <v>HOUSE_3_2_3</v>
      </c>
      <c r="B54" s="20">
        <v>43341</v>
      </c>
      <c r="C54" s="2">
        <v>2</v>
      </c>
      <c r="D54" s="2" t="s">
        <v>1</v>
      </c>
      <c r="E54" s="2">
        <v>3</v>
      </c>
      <c r="F54" s="2">
        <v>2018</v>
      </c>
      <c r="G54" s="2">
        <v>4</v>
      </c>
      <c r="H54" s="2" t="s">
        <v>694</v>
      </c>
      <c r="I54" s="2" t="s">
        <v>11</v>
      </c>
      <c r="J54" s="2" t="s">
        <v>796</v>
      </c>
      <c r="K54" s="2" t="s">
        <v>95</v>
      </c>
      <c r="L54" s="2" t="s">
        <v>613</v>
      </c>
      <c r="M54" s="2" t="s">
        <v>491</v>
      </c>
      <c r="N54" s="2" t="s">
        <v>526</v>
      </c>
      <c r="O54" s="2">
        <v>29</v>
      </c>
      <c r="P54" s="2">
        <v>22</v>
      </c>
      <c r="Q54" s="2">
        <v>23</v>
      </c>
      <c r="R54" s="2" t="str">
        <f>CONCATENATE(A54,"_PI.fcs")</f>
        <v>HOUSE_3_2_3_PI.fcs</v>
      </c>
      <c r="S54" s="2" t="s">
        <v>159</v>
      </c>
      <c r="T54" s="2" t="str">
        <f>CONCATENATE(A54,"_SG.fcs")</f>
        <v>HOUSE_3_2_3_SG.fcs</v>
      </c>
      <c r="U54" s="2" t="s">
        <v>345</v>
      </c>
    </row>
    <row r="55" spans="1:21" x14ac:dyDescent="0.25">
      <c r="A55" s="2" t="str">
        <f t="shared" si="1"/>
        <v>HOUSE_4_2_3</v>
      </c>
      <c r="B55" s="20">
        <v>43341</v>
      </c>
      <c r="C55" s="2">
        <v>2</v>
      </c>
      <c r="D55" s="2" t="s">
        <v>1</v>
      </c>
      <c r="E55" s="2">
        <v>3</v>
      </c>
      <c r="F55" s="2">
        <v>2018</v>
      </c>
      <c r="G55" s="2">
        <v>4</v>
      </c>
      <c r="H55" s="2" t="s">
        <v>695</v>
      </c>
      <c r="I55" s="2" t="s">
        <v>11</v>
      </c>
      <c r="J55" s="2" t="s">
        <v>796</v>
      </c>
      <c r="K55" s="2" t="s">
        <v>100</v>
      </c>
      <c r="L55" s="2" t="s">
        <v>568</v>
      </c>
      <c r="M55" s="2" t="s">
        <v>531</v>
      </c>
      <c r="N55" s="2" t="s">
        <v>623</v>
      </c>
      <c r="O55" s="2">
        <v>29</v>
      </c>
      <c r="P55" s="2">
        <v>22</v>
      </c>
      <c r="Q55" s="2">
        <v>23</v>
      </c>
      <c r="R55" s="2" t="str">
        <f>CONCATENATE(A55,"_PI.fcs")</f>
        <v>HOUSE_4_2_3_PI.fcs</v>
      </c>
      <c r="S55" s="2" t="s">
        <v>160</v>
      </c>
      <c r="T55" s="2" t="str">
        <f>CONCATENATE(A55,"_SG.fcs")</f>
        <v>HOUSE_4_2_3_SG.fcs</v>
      </c>
      <c r="U55" s="2" t="s">
        <v>346</v>
      </c>
    </row>
    <row r="56" spans="1:21" x14ac:dyDescent="0.25">
      <c r="A56" s="2" t="str">
        <f t="shared" si="1"/>
        <v>RES_1_3_1</v>
      </c>
      <c r="B56" s="20">
        <v>43348</v>
      </c>
      <c r="C56" s="2">
        <v>3</v>
      </c>
      <c r="D56" s="2" t="s">
        <v>2</v>
      </c>
      <c r="E56" s="2">
        <v>1</v>
      </c>
      <c r="F56" s="2">
        <v>2018</v>
      </c>
      <c r="G56" s="2">
        <v>1</v>
      </c>
      <c r="H56" s="2" t="s">
        <v>684</v>
      </c>
      <c r="I56" s="2" t="s">
        <v>9</v>
      </c>
      <c r="J56" s="2" t="s">
        <v>796</v>
      </c>
      <c r="K56" s="2" t="s">
        <v>28</v>
      </c>
      <c r="L56" s="2" t="s">
        <v>492</v>
      </c>
      <c r="M56" s="2" t="s">
        <v>493</v>
      </c>
      <c r="N56" s="2" t="s">
        <v>495</v>
      </c>
      <c r="O56" s="2">
        <v>25</v>
      </c>
      <c r="P56" s="2">
        <v>19</v>
      </c>
      <c r="Q56" s="2">
        <v>26</v>
      </c>
      <c r="R56" s="2" t="str">
        <f>CONCATENATE(A56,"_PI.fcs")</f>
        <v>RES_1_3_1_PI.fcs</v>
      </c>
      <c r="S56" s="2" t="s">
        <v>161</v>
      </c>
      <c r="T56" s="2" t="str">
        <f>CONCATENATE(A56,"_SG.fcs")</f>
        <v>RES_1_3_1_SG.fcs</v>
      </c>
      <c r="U56" s="2" t="s">
        <v>347</v>
      </c>
    </row>
    <row r="57" spans="1:21" x14ac:dyDescent="0.25">
      <c r="A57" s="2" t="str">
        <f t="shared" si="1"/>
        <v>RES_2_3_1</v>
      </c>
      <c r="B57" s="20">
        <v>43348</v>
      </c>
      <c r="C57" s="2">
        <v>3</v>
      </c>
      <c r="D57" s="2" t="s">
        <v>2</v>
      </c>
      <c r="E57" s="2">
        <v>1</v>
      </c>
      <c r="F57" s="2">
        <v>2018</v>
      </c>
      <c r="G57" s="2">
        <v>1</v>
      </c>
      <c r="H57" s="2" t="s">
        <v>685</v>
      </c>
      <c r="I57" s="2" t="s">
        <v>9</v>
      </c>
      <c r="J57" s="2" t="s">
        <v>796</v>
      </c>
      <c r="K57" s="2" t="s">
        <v>38</v>
      </c>
      <c r="L57" s="2" t="s">
        <v>524</v>
      </c>
      <c r="M57" s="2" t="s">
        <v>525</v>
      </c>
      <c r="N57" s="2" t="s">
        <v>526</v>
      </c>
      <c r="O57" s="2">
        <v>25</v>
      </c>
      <c r="P57" s="2">
        <v>19</v>
      </c>
      <c r="Q57" s="2">
        <v>26</v>
      </c>
      <c r="R57" s="2" t="str">
        <f>CONCATENATE(A57,"_PI.fcs")</f>
        <v>RES_2_3_1_PI.fcs</v>
      </c>
      <c r="S57" s="2" t="s">
        <v>162</v>
      </c>
      <c r="T57" s="2" t="str">
        <f>CONCATENATE(A57,"_SG.fcs")</f>
        <v>RES_2_3_1_SG.fcs</v>
      </c>
      <c r="U57" s="2" t="s">
        <v>348</v>
      </c>
    </row>
    <row r="58" spans="1:21" x14ac:dyDescent="0.25">
      <c r="A58" s="2" t="str">
        <f t="shared" si="1"/>
        <v>RES_3_3_1</v>
      </c>
      <c r="B58" s="20">
        <v>43348</v>
      </c>
      <c r="C58" s="2">
        <v>3</v>
      </c>
      <c r="D58" s="2" t="s">
        <v>2</v>
      </c>
      <c r="E58" s="2">
        <v>1</v>
      </c>
      <c r="F58" s="2">
        <v>2018</v>
      </c>
      <c r="G58" s="2">
        <v>1</v>
      </c>
      <c r="H58" s="2" t="s">
        <v>686</v>
      </c>
      <c r="I58" s="2" t="s">
        <v>9</v>
      </c>
      <c r="J58" s="2" t="s">
        <v>796</v>
      </c>
      <c r="K58" s="2" t="s">
        <v>44</v>
      </c>
      <c r="L58" s="2" t="s">
        <v>559</v>
      </c>
      <c r="M58" s="2" t="s">
        <v>493</v>
      </c>
      <c r="N58" s="2" t="s">
        <v>560</v>
      </c>
      <c r="O58" s="2">
        <v>30</v>
      </c>
      <c r="P58" s="2">
        <v>26</v>
      </c>
      <c r="Q58" s="2">
        <v>32</v>
      </c>
      <c r="R58" s="2" t="str">
        <f>CONCATENATE(A58,"_PI.fcs")</f>
        <v>RES_3_3_1_PI.fcs</v>
      </c>
      <c r="S58" s="2" t="s">
        <v>163</v>
      </c>
      <c r="T58" s="2" t="str">
        <f>CONCATENATE(A58,"_SG.fcs")</f>
        <v>RES_3_3_1_SG.fcs</v>
      </c>
      <c r="U58" s="2" t="s">
        <v>349</v>
      </c>
    </row>
    <row r="59" spans="1:21" x14ac:dyDescent="0.25">
      <c r="A59" s="2" t="str">
        <f t="shared" si="1"/>
        <v>RES_4_3_1</v>
      </c>
      <c r="B59" s="20">
        <v>43348</v>
      </c>
      <c r="C59" s="2">
        <v>3</v>
      </c>
      <c r="D59" s="2" t="s">
        <v>2</v>
      </c>
      <c r="E59" s="2">
        <v>1</v>
      </c>
      <c r="F59" s="2">
        <v>2018</v>
      </c>
      <c r="G59" s="2">
        <v>1</v>
      </c>
      <c r="H59" s="2" t="s">
        <v>687</v>
      </c>
      <c r="I59" s="2" t="s">
        <v>9</v>
      </c>
      <c r="J59" s="2" t="s">
        <v>797</v>
      </c>
      <c r="K59" s="2" t="s">
        <v>60</v>
      </c>
      <c r="L59" s="2" t="s">
        <v>632</v>
      </c>
      <c r="M59" s="2" t="s">
        <v>556</v>
      </c>
      <c r="N59" s="2" t="s">
        <v>633</v>
      </c>
      <c r="O59" s="2">
        <v>27</v>
      </c>
      <c r="P59" s="2">
        <v>20</v>
      </c>
      <c r="Q59" s="2">
        <v>26</v>
      </c>
      <c r="R59" s="2" t="str">
        <f>CONCATENATE(A59,"_PI.fcs")</f>
        <v>RES_4_3_1_PI.fcs</v>
      </c>
      <c r="S59" s="2" t="s">
        <v>164</v>
      </c>
      <c r="T59" s="2" t="str">
        <f>CONCATENATE(A59,"_SG.fcs")</f>
        <v>RES_4_3_1_SG.fcs</v>
      </c>
      <c r="U59" s="2" t="s">
        <v>480</v>
      </c>
    </row>
    <row r="60" spans="1:21" x14ac:dyDescent="0.25">
      <c r="A60" s="2" t="str">
        <f t="shared" si="1"/>
        <v>RES_5_3_1</v>
      </c>
      <c r="B60" s="20">
        <v>43348</v>
      </c>
      <c r="C60" s="2">
        <v>3</v>
      </c>
      <c r="D60" s="2" t="s">
        <v>2</v>
      </c>
      <c r="E60" s="2">
        <v>1</v>
      </c>
      <c r="F60" s="2">
        <v>2018</v>
      </c>
      <c r="G60" s="2">
        <v>1</v>
      </c>
      <c r="H60" s="2" t="s">
        <v>688</v>
      </c>
      <c r="I60" s="2" t="s">
        <v>9</v>
      </c>
      <c r="J60" s="2" t="s">
        <v>798</v>
      </c>
      <c r="K60" s="2" t="s">
        <v>69</v>
      </c>
      <c r="L60" s="2" t="s">
        <v>555</v>
      </c>
      <c r="M60" s="2" t="s">
        <v>542</v>
      </c>
      <c r="N60" s="2" t="s">
        <v>537</v>
      </c>
      <c r="O60" s="2">
        <v>30</v>
      </c>
      <c r="P60" s="2">
        <v>26</v>
      </c>
      <c r="Q60" s="2">
        <v>32</v>
      </c>
      <c r="R60" s="2" t="str">
        <f>CONCATENATE(A60,"_PI.fcs")</f>
        <v>RES_5_3_1_PI.fcs</v>
      </c>
      <c r="S60" s="2" t="s">
        <v>165</v>
      </c>
      <c r="T60" s="2" t="str">
        <f>CONCATENATE(A60,"_SG.fcs")</f>
        <v>RES_5_3_1_SG.fcs</v>
      </c>
      <c r="U60" s="2" t="s">
        <v>350</v>
      </c>
    </row>
    <row r="61" spans="1:21" x14ac:dyDescent="0.25">
      <c r="A61" s="2" t="str">
        <f t="shared" si="1"/>
        <v>RES_6_3_1</v>
      </c>
      <c r="B61" s="20">
        <v>43348</v>
      </c>
      <c r="C61" s="2">
        <v>3</v>
      </c>
      <c r="D61" s="2" t="s">
        <v>2</v>
      </c>
      <c r="E61" s="2">
        <v>1</v>
      </c>
      <c r="F61" s="2">
        <v>2018</v>
      </c>
      <c r="G61" s="2">
        <v>1</v>
      </c>
      <c r="H61" s="2" t="s">
        <v>689</v>
      </c>
      <c r="I61" s="2" t="s">
        <v>9</v>
      </c>
      <c r="J61" s="2" t="s">
        <v>798</v>
      </c>
      <c r="K61" s="2" t="s">
        <v>74</v>
      </c>
      <c r="L61" s="2" t="s">
        <v>613</v>
      </c>
      <c r="M61" s="2" t="s">
        <v>587</v>
      </c>
      <c r="N61" s="2" t="s">
        <v>614</v>
      </c>
      <c r="O61" s="2">
        <v>30</v>
      </c>
      <c r="P61" s="2">
        <v>26</v>
      </c>
      <c r="Q61" s="2">
        <v>32</v>
      </c>
      <c r="R61" s="2" t="str">
        <f>CONCATENATE(A61,"_PI.fcs")</f>
        <v>RES_6_3_1_PI.fcs</v>
      </c>
      <c r="S61" s="2" t="s">
        <v>166</v>
      </c>
      <c r="T61" s="2" t="str">
        <f>CONCATENATE(A61,"_SG.fcs")</f>
        <v>RES_6_3_1_SG.fcs</v>
      </c>
      <c r="U61" s="2" t="s">
        <v>351</v>
      </c>
    </row>
    <row r="62" spans="1:21" x14ac:dyDescent="0.25">
      <c r="A62" s="2" t="str">
        <f t="shared" si="1"/>
        <v>COM_1_3_1</v>
      </c>
      <c r="B62" s="20">
        <v>43355</v>
      </c>
      <c r="C62" s="2">
        <v>3</v>
      </c>
      <c r="D62" s="2" t="s">
        <v>2</v>
      </c>
      <c r="E62" s="2">
        <v>1</v>
      </c>
      <c r="F62" s="2">
        <v>2018</v>
      </c>
      <c r="G62" s="2">
        <v>2</v>
      </c>
      <c r="H62" s="2" t="s">
        <v>690</v>
      </c>
      <c r="I62" s="2" t="s">
        <v>10</v>
      </c>
      <c r="J62" s="2" t="s">
        <v>796</v>
      </c>
      <c r="K62" s="2" t="s">
        <v>17</v>
      </c>
      <c r="L62" s="2" t="s">
        <v>485</v>
      </c>
      <c r="M62" s="2" t="s">
        <v>489</v>
      </c>
      <c r="N62" s="2" t="s">
        <v>561</v>
      </c>
      <c r="O62" s="2">
        <v>22</v>
      </c>
      <c r="P62" s="2">
        <v>27</v>
      </c>
      <c r="Q62" s="2">
        <v>24</v>
      </c>
      <c r="R62" s="2" t="str">
        <f>CONCATENATE(A62,"_PI.fcs")</f>
        <v>COM_1_3_1_PI.fcs</v>
      </c>
      <c r="S62" s="2" t="s">
        <v>167</v>
      </c>
      <c r="T62" s="2" t="str">
        <f>CONCATENATE(A62,"_SG.fcs")</f>
        <v>COM_1_3_1_SG.fcs</v>
      </c>
      <c r="U62" s="2" t="s">
        <v>352</v>
      </c>
    </row>
    <row r="63" spans="1:21" x14ac:dyDescent="0.25">
      <c r="A63" s="2" t="str">
        <f t="shared" si="1"/>
        <v>COM_2_3_1</v>
      </c>
      <c r="B63" s="20">
        <v>43355</v>
      </c>
      <c r="C63" s="2">
        <v>3</v>
      </c>
      <c r="D63" s="2" t="s">
        <v>2</v>
      </c>
      <c r="E63" s="2">
        <v>1</v>
      </c>
      <c r="F63" s="2">
        <v>2018</v>
      </c>
      <c r="G63" s="2">
        <v>2</v>
      </c>
      <c r="H63" s="2" t="s">
        <v>692</v>
      </c>
      <c r="I63" s="2" t="s">
        <v>10</v>
      </c>
      <c r="J63" s="2" t="s">
        <v>796</v>
      </c>
      <c r="K63" s="2" t="s">
        <v>65</v>
      </c>
      <c r="L63" s="2" t="s">
        <v>621</v>
      </c>
      <c r="M63" s="2" t="s">
        <v>493</v>
      </c>
      <c r="N63" s="2" t="s">
        <v>648</v>
      </c>
      <c r="O63" s="2">
        <v>22</v>
      </c>
      <c r="P63" s="2">
        <v>27</v>
      </c>
      <c r="Q63" s="2">
        <v>24</v>
      </c>
      <c r="R63" s="2" t="str">
        <f>CONCATENATE(A63,"_PI.fcs")</f>
        <v>COM_2_3_1_PI.fcs</v>
      </c>
      <c r="S63" s="2" t="s">
        <v>169</v>
      </c>
      <c r="T63" s="2" t="str">
        <f>CONCATENATE(A63,"_SG.fcs")</f>
        <v>COM_2_3_1_SG.fcs</v>
      </c>
      <c r="U63" s="2" t="s">
        <v>354</v>
      </c>
    </row>
    <row r="64" spans="1:21" x14ac:dyDescent="0.25">
      <c r="A64" s="2" t="str">
        <f t="shared" si="1"/>
        <v>HOUSE_1_3_1</v>
      </c>
      <c r="B64" s="20">
        <v>43355</v>
      </c>
      <c r="C64" s="2">
        <v>3</v>
      </c>
      <c r="D64" s="2" t="s">
        <v>2</v>
      </c>
      <c r="E64" s="2">
        <v>1</v>
      </c>
      <c r="F64" s="2">
        <v>2018</v>
      </c>
      <c r="G64" s="2">
        <v>2</v>
      </c>
      <c r="H64" s="2" t="s">
        <v>691</v>
      </c>
      <c r="I64" s="2" t="s">
        <v>11</v>
      </c>
      <c r="J64" s="2" t="s">
        <v>796</v>
      </c>
      <c r="K64" s="2" t="s">
        <v>53</v>
      </c>
      <c r="L64" s="2" t="s">
        <v>593</v>
      </c>
      <c r="M64" s="2" t="s">
        <v>587</v>
      </c>
      <c r="N64" s="2" t="s">
        <v>666</v>
      </c>
      <c r="O64" s="2">
        <v>22</v>
      </c>
      <c r="P64" s="2">
        <v>27</v>
      </c>
      <c r="Q64" s="2">
        <v>24</v>
      </c>
      <c r="R64" s="2" t="str">
        <f>CONCATENATE(A64,"_PI.fcs")</f>
        <v>HOUSE_1_3_1_PI.fcs</v>
      </c>
      <c r="S64" s="2" t="s">
        <v>168</v>
      </c>
      <c r="T64" s="2" t="str">
        <f>CONCATENATE(A64,"_SG.fcs")</f>
        <v>HOUSE_1_3_1_SG.fcs</v>
      </c>
      <c r="U64" s="2" t="s">
        <v>353</v>
      </c>
    </row>
    <row r="65" spans="1:21" x14ac:dyDescent="0.25">
      <c r="A65" s="2" t="str">
        <f t="shared" si="1"/>
        <v>HOUSE_2_3_1</v>
      </c>
      <c r="B65" s="20">
        <v>43355</v>
      </c>
      <c r="C65" s="2">
        <v>3</v>
      </c>
      <c r="D65" s="2" t="s">
        <v>2</v>
      </c>
      <c r="E65" s="2">
        <v>1</v>
      </c>
      <c r="F65" s="2">
        <v>2018</v>
      </c>
      <c r="G65" s="2">
        <v>2</v>
      </c>
      <c r="H65" s="2" t="s">
        <v>693</v>
      </c>
      <c r="I65" s="2" t="s">
        <v>11</v>
      </c>
      <c r="J65" s="2" t="s">
        <v>796</v>
      </c>
      <c r="K65" s="2" t="s">
        <v>83</v>
      </c>
      <c r="L65" s="2" t="s">
        <v>593</v>
      </c>
      <c r="M65" s="2" t="s">
        <v>481</v>
      </c>
      <c r="N65" s="2" t="s">
        <v>501</v>
      </c>
      <c r="O65" s="2">
        <v>22</v>
      </c>
      <c r="P65" s="2">
        <v>27</v>
      </c>
      <c r="Q65" s="2">
        <v>24</v>
      </c>
      <c r="R65" s="2" t="str">
        <f>CONCATENATE(A65,"_PI.fcs")</f>
        <v>HOUSE_2_3_1_PI.fcs</v>
      </c>
      <c r="S65" s="2" t="s">
        <v>170</v>
      </c>
      <c r="T65" s="2" t="str">
        <f>CONCATENATE(A65,"_SG.fcs")</f>
        <v>HOUSE_2_3_1_SG.fcs</v>
      </c>
      <c r="U65" s="2" t="s">
        <v>355</v>
      </c>
    </row>
    <row r="66" spans="1:21" x14ac:dyDescent="0.25">
      <c r="A66" s="2" t="str">
        <f t="shared" ref="A66:A97" si="2">CONCATENATE(H66,"_",C66,"_",E66)</f>
        <v>HOUSE_3_3_1</v>
      </c>
      <c r="B66" s="20">
        <v>43355</v>
      </c>
      <c r="C66" s="2">
        <v>3</v>
      </c>
      <c r="D66" s="2" t="s">
        <v>2</v>
      </c>
      <c r="E66" s="2">
        <v>1</v>
      </c>
      <c r="F66" s="2">
        <v>2018</v>
      </c>
      <c r="G66" s="2">
        <v>2</v>
      </c>
      <c r="H66" s="2" t="s">
        <v>694</v>
      </c>
      <c r="I66" s="2" t="s">
        <v>11</v>
      </c>
      <c r="J66" s="2" t="s">
        <v>796</v>
      </c>
      <c r="K66" s="2" t="s">
        <v>96</v>
      </c>
      <c r="L66" s="2" t="s">
        <v>637</v>
      </c>
      <c r="M66" s="2" t="s">
        <v>546</v>
      </c>
      <c r="N66" s="2" t="s">
        <v>540</v>
      </c>
      <c r="O66" s="2">
        <v>22</v>
      </c>
      <c r="P66" s="2">
        <v>27</v>
      </c>
      <c r="Q66" s="2">
        <v>24</v>
      </c>
      <c r="R66" s="2" t="str">
        <f>CONCATENATE(A66,"_PI.fcs")</f>
        <v>HOUSE_3_3_1_PI.fcs</v>
      </c>
      <c r="S66" s="2" t="s">
        <v>171</v>
      </c>
      <c r="T66" s="2" t="str">
        <f>CONCATENATE(A66,"_SG.fcs")</f>
        <v>HOUSE_3_3_1_SG.fcs</v>
      </c>
      <c r="U66" s="2" t="s">
        <v>356</v>
      </c>
    </row>
    <row r="67" spans="1:21" x14ac:dyDescent="0.25">
      <c r="A67" s="2" t="str">
        <f t="shared" si="2"/>
        <v>HOUSE_4_3_1</v>
      </c>
      <c r="B67" s="20">
        <v>43355</v>
      </c>
      <c r="C67" s="2">
        <v>3</v>
      </c>
      <c r="D67" s="2" t="s">
        <v>2</v>
      </c>
      <c r="E67" s="2">
        <v>1</v>
      </c>
      <c r="F67" s="2">
        <v>2018</v>
      </c>
      <c r="G67" s="2">
        <v>2</v>
      </c>
      <c r="H67" s="2" t="s">
        <v>695</v>
      </c>
      <c r="I67" s="2" t="s">
        <v>11</v>
      </c>
      <c r="J67" s="2" t="s">
        <v>796</v>
      </c>
      <c r="K67" s="2" t="s">
        <v>101</v>
      </c>
      <c r="L67" s="2" t="s">
        <v>601</v>
      </c>
      <c r="M67" s="2" t="s">
        <v>491</v>
      </c>
      <c r="N67" s="2" t="s">
        <v>602</v>
      </c>
      <c r="O67" s="2">
        <v>22</v>
      </c>
      <c r="P67" s="2">
        <v>27</v>
      </c>
      <c r="Q67" s="2">
        <v>24</v>
      </c>
      <c r="R67" s="2" t="str">
        <f>CONCATENATE(A67,"_PI.fcs")</f>
        <v>HOUSE_4_3_1_PI.fcs</v>
      </c>
      <c r="S67" s="2" t="s">
        <v>172</v>
      </c>
      <c r="T67" s="2" t="str">
        <f>CONCATENATE(A67,"_SG.fcs")</f>
        <v>HOUSE_4_3_1_SG.fcs</v>
      </c>
      <c r="U67" s="2" t="s">
        <v>357</v>
      </c>
    </row>
    <row r="68" spans="1:21" x14ac:dyDescent="0.25">
      <c r="A68" s="2" t="str">
        <f t="shared" si="2"/>
        <v>RES_1_3_2</v>
      </c>
      <c r="B68" s="20">
        <v>43362</v>
      </c>
      <c r="C68" s="2">
        <v>3</v>
      </c>
      <c r="D68" s="2" t="s">
        <v>2</v>
      </c>
      <c r="E68" s="2">
        <v>2</v>
      </c>
      <c r="F68" s="2">
        <v>2018</v>
      </c>
      <c r="G68" s="2">
        <v>3</v>
      </c>
      <c r="H68" s="2" t="s">
        <v>684</v>
      </c>
      <c r="I68" s="2" t="s">
        <v>9</v>
      </c>
      <c r="J68" s="2" t="s">
        <v>796</v>
      </c>
      <c r="K68" s="2" t="s">
        <v>29</v>
      </c>
      <c r="L68" s="2" t="s">
        <v>485</v>
      </c>
      <c r="M68" s="2" t="s">
        <v>496</v>
      </c>
      <c r="N68" s="2" t="s">
        <v>497</v>
      </c>
      <c r="O68" s="2">
        <v>29</v>
      </c>
      <c r="P68" s="2">
        <v>29</v>
      </c>
      <c r="Q68" s="2">
        <v>31</v>
      </c>
      <c r="R68" s="2" t="str">
        <f>CONCATENATE(A68,"_PI.fcs")</f>
        <v>RES_1_3_2_PI.fcs</v>
      </c>
      <c r="S68" s="2" t="s">
        <v>173</v>
      </c>
      <c r="T68" s="2" t="str">
        <f>CONCATENATE(A68,"_SG.fcs")</f>
        <v>RES_1_3_2_SG.fcs</v>
      </c>
      <c r="U68" s="2" t="s">
        <v>358</v>
      </c>
    </row>
    <row r="69" spans="1:21" x14ac:dyDescent="0.25">
      <c r="A69" s="2" t="str">
        <f t="shared" si="2"/>
        <v>RES_2_3_2</v>
      </c>
      <c r="B69" s="20">
        <v>43362</v>
      </c>
      <c r="C69" s="2">
        <v>3</v>
      </c>
      <c r="D69" s="2" t="s">
        <v>2</v>
      </c>
      <c r="E69" s="2">
        <v>2</v>
      </c>
      <c r="F69" s="2">
        <v>2018</v>
      </c>
      <c r="G69" s="2">
        <v>3</v>
      </c>
      <c r="H69" s="2" t="s">
        <v>685</v>
      </c>
      <c r="I69" s="2" t="s">
        <v>9</v>
      </c>
      <c r="J69" s="2" t="s">
        <v>796</v>
      </c>
      <c r="K69" s="2" t="s">
        <v>39</v>
      </c>
      <c r="L69" s="2" t="s">
        <v>527</v>
      </c>
      <c r="M69" s="2" t="s">
        <v>528</v>
      </c>
      <c r="N69" s="2" t="s">
        <v>526</v>
      </c>
      <c r="O69" s="2">
        <v>29</v>
      </c>
      <c r="P69" s="2">
        <v>29</v>
      </c>
      <c r="Q69" s="2">
        <v>31</v>
      </c>
      <c r="R69" s="2" t="str">
        <f>CONCATENATE(A69,"_PI.fcs")</f>
        <v>RES_2_3_2_PI.fcs</v>
      </c>
      <c r="S69" s="2" t="s">
        <v>174</v>
      </c>
      <c r="T69" s="2" t="str">
        <f>CONCATENATE(A69,"_SG.fcs")</f>
        <v>RES_2_3_2_SG.fcs</v>
      </c>
      <c r="U69" s="2" t="s">
        <v>359</v>
      </c>
    </row>
    <row r="70" spans="1:21" x14ac:dyDescent="0.25">
      <c r="A70" s="2" t="str">
        <f t="shared" si="2"/>
        <v>RES_3_3_2</v>
      </c>
      <c r="B70" s="20">
        <v>43362</v>
      </c>
      <c r="C70" s="2">
        <v>3</v>
      </c>
      <c r="D70" s="2" t="s">
        <v>2</v>
      </c>
      <c r="E70" s="2">
        <v>2</v>
      </c>
      <c r="F70" s="2">
        <v>2018</v>
      </c>
      <c r="G70" s="2">
        <v>3</v>
      </c>
      <c r="H70" s="2" t="s">
        <v>686</v>
      </c>
      <c r="I70" s="2" t="s">
        <v>9</v>
      </c>
      <c r="J70" s="2" t="s">
        <v>796</v>
      </c>
      <c r="K70" s="2" t="s">
        <v>45</v>
      </c>
      <c r="L70" s="2" t="s">
        <v>559</v>
      </c>
      <c r="M70" s="2" t="s">
        <v>496</v>
      </c>
      <c r="N70" s="2" t="s">
        <v>561</v>
      </c>
      <c r="O70" s="2">
        <v>36</v>
      </c>
      <c r="P70" s="2">
        <v>35</v>
      </c>
      <c r="Q70" s="2">
        <v>38</v>
      </c>
      <c r="R70" s="2" t="str">
        <f>CONCATENATE(A70,"_PI.fcs")</f>
        <v>RES_3_3_2_PI.fcs</v>
      </c>
      <c r="S70" s="2" t="s">
        <v>175</v>
      </c>
      <c r="T70" s="2" t="str">
        <f>CONCATENATE(A70,"_SG.fcs")</f>
        <v>RES_3_3_2_SG.fcs</v>
      </c>
      <c r="U70" s="2" t="s">
        <v>360</v>
      </c>
    </row>
    <row r="71" spans="1:21" x14ac:dyDescent="0.25">
      <c r="A71" s="2" t="str">
        <f t="shared" si="2"/>
        <v>RES_4_3_2</v>
      </c>
      <c r="B71" s="20">
        <v>43362</v>
      </c>
      <c r="C71" s="2">
        <v>3</v>
      </c>
      <c r="D71" s="2" t="s">
        <v>2</v>
      </c>
      <c r="E71" s="2">
        <v>2</v>
      </c>
      <c r="F71" s="2">
        <v>2018</v>
      </c>
      <c r="G71" s="2">
        <v>3</v>
      </c>
      <c r="H71" s="2" t="s">
        <v>687</v>
      </c>
      <c r="I71" s="2" t="s">
        <v>9</v>
      </c>
      <c r="J71" s="2" t="s">
        <v>797</v>
      </c>
      <c r="K71" s="2" t="s">
        <v>61</v>
      </c>
      <c r="L71" s="2" t="s">
        <v>506</v>
      </c>
      <c r="M71" s="2" t="s">
        <v>485</v>
      </c>
      <c r="N71" s="2" t="s">
        <v>634</v>
      </c>
      <c r="O71" s="2">
        <v>30</v>
      </c>
      <c r="P71" s="2">
        <v>30</v>
      </c>
      <c r="Q71" s="2">
        <v>32</v>
      </c>
      <c r="R71" s="2" t="str">
        <f>CONCATENATE(A71,"_PI.fcs")</f>
        <v>RES_4_3_2_PI.fcs</v>
      </c>
      <c r="S71" s="2" t="s">
        <v>176</v>
      </c>
      <c r="T71" s="2" t="str">
        <f>CONCATENATE(A71,"_SG.fcs")</f>
        <v>RES_4_3_2_SG.fcs</v>
      </c>
      <c r="U71" s="2" t="s">
        <v>361</v>
      </c>
    </row>
    <row r="72" spans="1:21" x14ac:dyDescent="0.25">
      <c r="A72" s="2" t="str">
        <f t="shared" si="2"/>
        <v>RES_5_3_2</v>
      </c>
      <c r="B72" s="20">
        <v>43362</v>
      </c>
      <c r="C72" s="2">
        <v>3</v>
      </c>
      <c r="D72" s="2" t="s">
        <v>2</v>
      </c>
      <c r="E72" s="2">
        <v>2</v>
      </c>
      <c r="F72" s="2">
        <v>2018</v>
      </c>
      <c r="G72" s="2">
        <v>3</v>
      </c>
      <c r="H72" s="2" t="s">
        <v>688</v>
      </c>
      <c r="I72" s="2" t="s">
        <v>9</v>
      </c>
      <c r="J72" s="2" t="s">
        <v>798</v>
      </c>
      <c r="K72" s="2" t="s">
        <v>70</v>
      </c>
      <c r="L72" s="2" t="s">
        <v>484</v>
      </c>
      <c r="M72" s="2" t="s">
        <v>578</v>
      </c>
      <c r="N72" s="2" t="s">
        <v>523</v>
      </c>
      <c r="O72" s="2">
        <v>36</v>
      </c>
      <c r="P72" s="2">
        <v>35</v>
      </c>
      <c r="Q72" s="2">
        <v>38</v>
      </c>
      <c r="R72" s="2" t="str">
        <f>CONCATENATE(A72,"_PI.fcs")</f>
        <v>RES_5_3_2_PI.fcs</v>
      </c>
      <c r="S72" s="2" t="s">
        <v>177</v>
      </c>
      <c r="T72" s="2" t="str">
        <f>CONCATENATE(A72,"_SG.fcs")</f>
        <v>RES_5_3_2_SG.fcs</v>
      </c>
      <c r="U72" s="2" t="s">
        <v>362</v>
      </c>
    </row>
    <row r="73" spans="1:21" x14ac:dyDescent="0.25">
      <c r="A73" s="2" t="str">
        <f t="shared" si="2"/>
        <v>RES_6_3_2</v>
      </c>
      <c r="B73" s="20">
        <v>43362</v>
      </c>
      <c r="C73" s="2">
        <v>3</v>
      </c>
      <c r="D73" s="2" t="s">
        <v>2</v>
      </c>
      <c r="E73" s="2">
        <v>2</v>
      </c>
      <c r="F73" s="2">
        <v>2018</v>
      </c>
      <c r="G73" s="2">
        <v>3</v>
      </c>
      <c r="H73" s="2" t="s">
        <v>689</v>
      </c>
      <c r="I73" s="2" t="s">
        <v>9</v>
      </c>
      <c r="J73" s="2" t="s">
        <v>798</v>
      </c>
      <c r="K73" s="2" t="s">
        <v>75</v>
      </c>
      <c r="L73" s="2" t="s">
        <v>553</v>
      </c>
      <c r="M73" s="2" t="s">
        <v>492</v>
      </c>
      <c r="N73" s="2" t="s">
        <v>615</v>
      </c>
      <c r="O73" s="2">
        <v>36</v>
      </c>
      <c r="P73" s="2">
        <v>35</v>
      </c>
      <c r="Q73" s="2">
        <v>38</v>
      </c>
      <c r="R73" s="2" t="str">
        <f>CONCATENATE(A73,"_PI.fcs")</f>
        <v>RES_6_3_2_PI.fcs</v>
      </c>
      <c r="S73" s="2" t="s">
        <v>178</v>
      </c>
      <c r="T73" s="2" t="str">
        <f>CONCATENATE(A73,"_SG.fcs")</f>
        <v>RES_6_3_2_SG.fcs</v>
      </c>
      <c r="U73" s="2" t="s">
        <v>363</v>
      </c>
    </row>
    <row r="74" spans="1:21" x14ac:dyDescent="0.25">
      <c r="A74" s="2" t="str">
        <f t="shared" si="2"/>
        <v>COM_1_3_2</v>
      </c>
      <c r="B74" s="20">
        <v>43369</v>
      </c>
      <c r="C74" s="2">
        <v>3</v>
      </c>
      <c r="D74" s="2" t="s">
        <v>2</v>
      </c>
      <c r="E74" s="2">
        <v>2</v>
      </c>
      <c r="F74" s="2">
        <v>2018</v>
      </c>
      <c r="G74" s="2">
        <v>4</v>
      </c>
      <c r="H74" s="2" t="s">
        <v>690</v>
      </c>
      <c r="I74" s="2" t="s">
        <v>10</v>
      </c>
      <c r="J74" s="2" t="s">
        <v>796</v>
      </c>
      <c r="K74" s="2" t="s">
        <v>18</v>
      </c>
      <c r="L74" s="2" t="s">
        <v>482</v>
      </c>
      <c r="M74" s="2" t="s">
        <v>489</v>
      </c>
      <c r="N74" s="2" t="s">
        <v>661</v>
      </c>
      <c r="O74" s="2">
        <v>28</v>
      </c>
      <c r="P74" s="2">
        <v>29</v>
      </c>
      <c r="Q74" s="2">
        <v>28</v>
      </c>
      <c r="R74" s="2" t="str">
        <f>CONCATENATE(A74,"_PI.fcs")</f>
        <v>COM_1_3_2_PI.fcs</v>
      </c>
      <c r="S74" s="2" t="s">
        <v>179</v>
      </c>
      <c r="T74" s="2" t="str">
        <f>CONCATENATE(A74,"_SG.fcs")</f>
        <v>COM_1_3_2_SG.fcs</v>
      </c>
      <c r="U74" s="2" t="s">
        <v>364</v>
      </c>
    </row>
    <row r="75" spans="1:21" x14ac:dyDescent="0.25">
      <c r="A75" s="2" t="str">
        <f t="shared" si="2"/>
        <v>COM_2_3_2</v>
      </c>
      <c r="B75" s="20">
        <v>43369</v>
      </c>
      <c r="C75" s="2">
        <v>3</v>
      </c>
      <c r="D75" s="2" t="s">
        <v>2</v>
      </c>
      <c r="E75" s="2">
        <v>2</v>
      </c>
      <c r="F75" s="2">
        <v>2018</v>
      </c>
      <c r="G75" s="2">
        <v>4</v>
      </c>
      <c r="H75" s="2" t="s">
        <v>692</v>
      </c>
      <c r="I75" s="2" t="s">
        <v>10</v>
      </c>
      <c r="J75" s="2" t="s">
        <v>796</v>
      </c>
      <c r="K75" s="2"/>
      <c r="L75" s="2" t="s">
        <v>626</v>
      </c>
      <c r="M75" s="2" t="s">
        <v>496</v>
      </c>
      <c r="N75" s="2" t="s">
        <v>560</v>
      </c>
      <c r="O75" s="2">
        <v>28</v>
      </c>
      <c r="P75" s="2">
        <v>29</v>
      </c>
      <c r="Q75" s="2">
        <v>28</v>
      </c>
      <c r="R75" s="2" t="str">
        <f>CONCATENATE(A75,"_PI.fcs")</f>
        <v>COM_2_3_2_PI.fcs</v>
      </c>
      <c r="S75" s="2" t="s">
        <v>181</v>
      </c>
      <c r="T75" s="2" t="str">
        <f>CONCATENATE(A75,"_SG.fcs")</f>
        <v>COM_2_3_2_SG.fcs</v>
      </c>
      <c r="U75" s="2" t="s">
        <v>366</v>
      </c>
    </row>
    <row r="76" spans="1:21" x14ac:dyDescent="0.25">
      <c r="A76" s="2" t="str">
        <f t="shared" si="2"/>
        <v>HOUSE_1_3_2</v>
      </c>
      <c r="B76" s="20">
        <v>43369</v>
      </c>
      <c r="C76" s="2">
        <v>3</v>
      </c>
      <c r="D76" s="2" t="s">
        <v>2</v>
      </c>
      <c r="E76" s="2">
        <v>2</v>
      </c>
      <c r="F76" s="2">
        <v>2018</v>
      </c>
      <c r="G76" s="2">
        <v>4</v>
      </c>
      <c r="H76" s="2" t="s">
        <v>691</v>
      </c>
      <c r="I76" s="2" t="s">
        <v>11</v>
      </c>
      <c r="J76" s="2" t="s">
        <v>796</v>
      </c>
      <c r="K76" s="2"/>
      <c r="L76" s="2" t="s">
        <v>667</v>
      </c>
      <c r="M76" s="2" t="s">
        <v>481</v>
      </c>
      <c r="N76" s="2" t="s">
        <v>499</v>
      </c>
      <c r="O76" s="2">
        <v>28</v>
      </c>
      <c r="P76" s="2">
        <v>29</v>
      </c>
      <c r="Q76" s="2">
        <v>28</v>
      </c>
      <c r="R76" s="2" t="str">
        <f>CONCATENATE(A76,"_PI.fcs")</f>
        <v>HOUSE_1_3_2_PI.fcs</v>
      </c>
      <c r="S76" s="2" t="s">
        <v>180</v>
      </c>
      <c r="T76" s="2" t="str">
        <f>CONCATENATE(A76,"_SG.fcs")</f>
        <v>HOUSE_1_3_2_SG.fcs</v>
      </c>
      <c r="U76" s="2" t="s">
        <v>365</v>
      </c>
    </row>
    <row r="77" spans="1:21" x14ac:dyDescent="0.25">
      <c r="A77" s="2" t="str">
        <f t="shared" si="2"/>
        <v>HOUSE_2_3_2</v>
      </c>
      <c r="B77" s="20">
        <v>43369</v>
      </c>
      <c r="C77" s="2">
        <v>3</v>
      </c>
      <c r="D77" s="2" t="s">
        <v>2</v>
      </c>
      <c r="E77" s="2">
        <v>2</v>
      </c>
      <c r="F77" s="2">
        <v>2018</v>
      </c>
      <c r="G77" s="2">
        <v>4</v>
      </c>
      <c r="H77" s="2" t="s">
        <v>693</v>
      </c>
      <c r="I77" s="2" t="s">
        <v>11</v>
      </c>
      <c r="J77" s="2" t="s">
        <v>796</v>
      </c>
      <c r="K77" s="2" t="s">
        <v>84</v>
      </c>
      <c r="L77" s="2" t="s">
        <v>621</v>
      </c>
      <c r="M77" s="2" t="s">
        <v>485</v>
      </c>
      <c r="N77" s="2" t="s">
        <v>550</v>
      </c>
      <c r="O77" s="2">
        <v>28</v>
      </c>
      <c r="P77" s="2">
        <v>29</v>
      </c>
      <c r="Q77" s="2">
        <v>28</v>
      </c>
      <c r="R77" s="2" t="str">
        <f>CONCATENATE(A77,"_PI.fcs")</f>
        <v>HOUSE_2_3_2_PI.fcs</v>
      </c>
      <c r="S77" s="2" t="s">
        <v>182</v>
      </c>
      <c r="T77" s="2" t="str">
        <f>CONCATENATE(A77,"_SG.fcs")</f>
        <v>HOUSE_2_3_2_SG.fcs</v>
      </c>
      <c r="U77" s="2" t="s">
        <v>367</v>
      </c>
    </row>
    <row r="78" spans="1:21" x14ac:dyDescent="0.25">
      <c r="A78" s="2" t="str">
        <f t="shared" si="2"/>
        <v>HOUSE_3_3_2</v>
      </c>
      <c r="B78" s="20">
        <v>43369</v>
      </c>
      <c r="C78" s="2">
        <v>3</v>
      </c>
      <c r="D78" s="2" t="s">
        <v>2</v>
      </c>
      <c r="E78" s="2">
        <v>2</v>
      </c>
      <c r="F78" s="2">
        <v>2018</v>
      </c>
      <c r="G78" s="2">
        <v>4</v>
      </c>
      <c r="H78" s="2" t="s">
        <v>694</v>
      </c>
      <c r="I78" s="2" t="s">
        <v>11</v>
      </c>
      <c r="J78" s="2" t="s">
        <v>796</v>
      </c>
      <c r="K78" s="2"/>
      <c r="L78" s="2" t="s">
        <v>655</v>
      </c>
      <c r="M78" s="2" t="s">
        <v>492</v>
      </c>
      <c r="N78" s="2" t="s">
        <v>657</v>
      </c>
      <c r="O78" s="2">
        <v>28</v>
      </c>
      <c r="P78" s="2">
        <v>29</v>
      </c>
      <c r="Q78" s="2">
        <v>28</v>
      </c>
      <c r="R78" s="2" t="str">
        <f>CONCATENATE(A78,"_PI.fcs")</f>
        <v>HOUSE_3_3_2_PI.fcs</v>
      </c>
      <c r="S78" s="2" t="s">
        <v>183</v>
      </c>
      <c r="T78" s="2" t="str">
        <f>CONCATENATE(A78,"_SG.fcs")</f>
        <v>HOUSE_3_3_2_SG.fcs</v>
      </c>
      <c r="U78" s="2" t="s">
        <v>368</v>
      </c>
    </row>
    <row r="79" spans="1:21" x14ac:dyDescent="0.25">
      <c r="A79" s="2" t="str">
        <f t="shared" si="2"/>
        <v>HOUSE_4_3_2</v>
      </c>
      <c r="B79" s="20">
        <v>43369</v>
      </c>
      <c r="C79" s="2">
        <v>3</v>
      </c>
      <c r="D79" s="2" t="s">
        <v>2</v>
      </c>
      <c r="E79" s="2">
        <v>2</v>
      </c>
      <c r="F79" s="2">
        <v>2018</v>
      </c>
      <c r="G79" s="2">
        <v>4</v>
      </c>
      <c r="H79" s="2" t="s">
        <v>695</v>
      </c>
      <c r="I79" s="2" t="s">
        <v>11</v>
      </c>
      <c r="J79" s="2" t="s">
        <v>796</v>
      </c>
      <c r="K79" s="2"/>
      <c r="L79" s="2" t="s">
        <v>650</v>
      </c>
      <c r="M79" s="2" t="s">
        <v>542</v>
      </c>
      <c r="N79" s="2" t="s">
        <v>656</v>
      </c>
      <c r="O79" s="2">
        <v>28</v>
      </c>
      <c r="P79" s="2">
        <v>29</v>
      </c>
      <c r="Q79" s="2">
        <v>28</v>
      </c>
      <c r="R79" s="2" t="str">
        <f>CONCATENATE(A79,"_PI.fcs")</f>
        <v>HOUSE_4_3_2_PI.fcs</v>
      </c>
      <c r="S79" s="2" t="s">
        <v>184</v>
      </c>
      <c r="T79" s="2" t="str">
        <f>CONCATENATE(A79,"_SG.fcs")</f>
        <v>HOUSE_4_3_2_SG.fcs</v>
      </c>
      <c r="U79" s="2" t="s">
        <v>369</v>
      </c>
    </row>
    <row r="80" spans="1:21" x14ac:dyDescent="0.25">
      <c r="A80" s="2" t="str">
        <f t="shared" si="2"/>
        <v>RES_1_4_1</v>
      </c>
      <c r="B80" s="20">
        <v>43376</v>
      </c>
      <c r="C80" s="2">
        <v>4</v>
      </c>
      <c r="D80" s="2" t="s">
        <v>3</v>
      </c>
      <c r="E80" s="2">
        <v>1</v>
      </c>
      <c r="F80" s="2">
        <v>2018</v>
      </c>
      <c r="G80" s="2">
        <v>1</v>
      </c>
      <c r="H80" s="2" t="s">
        <v>684</v>
      </c>
      <c r="I80" s="2" t="s">
        <v>9</v>
      </c>
      <c r="J80" s="2" t="s">
        <v>796</v>
      </c>
      <c r="K80" s="2"/>
      <c r="L80" s="2" t="s">
        <v>498</v>
      </c>
      <c r="M80" s="2" t="s">
        <v>485</v>
      </c>
      <c r="N80" s="2" t="s">
        <v>499</v>
      </c>
      <c r="O80" s="2">
        <v>26</v>
      </c>
      <c r="P80" s="2">
        <v>27</v>
      </c>
      <c r="Q80" s="2">
        <v>24</v>
      </c>
      <c r="R80" s="2" t="str">
        <f>CONCATENATE(A80,"_PI.fcs")</f>
        <v>RES_1_4_1_PI.fcs</v>
      </c>
      <c r="S80" s="2" t="s">
        <v>185</v>
      </c>
      <c r="T80" s="2" t="str">
        <f>CONCATENATE(A80,"_SG.fcs")</f>
        <v>RES_1_4_1_SG.fcs</v>
      </c>
      <c r="U80" s="2" t="s">
        <v>370</v>
      </c>
    </row>
    <row r="81" spans="1:21" x14ac:dyDescent="0.25">
      <c r="A81" s="2" t="str">
        <f t="shared" si="2"/>
        <v>RES_2_4_1</v>
      </c>
      <c r="B81" s="20">
        <v>43376</v>
      </c>
      <c r="C81" s="2">
        <v>4</v>
      </c>
      <c r="D81" s="2" t="s">
        <v>3</v>
      </c>
      <c r="E81" s="2">
        <v>1</v>
      </c>
      <c r="F81" s="2">
        <v>2018</v>
      </c>
      <c r="G81" s="2">
        <v>1</v>
      </c>
      <c r="H81" s="2" t="s">
        <v>685</v>
      </c>
      <c r="I81" s="2" t="s">
        <v>9</v>
      </c>
      <c r="J81" s="2" t="s">
        <v>796</v>
      </c>
      <c r="K81" s="2"/>
      <c r="L81" s="2" t="s">
        <v>530</v>
      </c>
      <c r="M81" s="2" t="s">
        <v>531</v>
      </c>
      <c r="N81" s="2" t="s">
        <v>532</v>
      </c>
      <c r="O81" s="2">
        <v>26</v>
      </c>
      <c r="P81" s="2">
        <v>27</v>
      </c>
      <c r="Q81" s="2">
        <v>24</v>
      </c>
      <c r="R81" s="2" t="str">
        <f>CONCATENATE(A81,"_PI.fcs")</f>
        <v>RES_2_4_1_PI.fcs</v>
      </c>
      <c r="S81" s="2" t="s">
        <v>186</v>
      </c>
      <c r="T81" s="2" t="str">
        <f>CONCATENATE(A81,"_SG.fcs")</f>
        <v>RES_2_4_1_SG.fcs</v>
      </c>
      <c r="U81" s="2" t="s">
        <v>371</v>
      </c>
    </row>
    <row r="82" spans="1:21" x14ac:dyDescent="0.25">
      <c r="A82" s="2" t="str">
        <f t="shared" si="2"/>
        <v>RES_3_4_1</v>
      </c>
      <c r="B82" s="20">
        <v>43376</v>
      </c>
      <c r="C82" s="2">
        <v>4</v>
      </c>
      <c r="D82" s="2" t="s">
        <v>3</v>
      </c>
      <c r="E82" s="2">
        <v>1</v>
      </c>
      <c r="F82" s="2">
        <v>2018</v>
      </c>
      <c r="G82" s="2">
        <v>1</v>
      </c>
      <c r="H82" s="2" t="s">
        <v>686</v>
      </c>
      <c r="I82" s="2" t="s">
        <v>9</v>
      </c>
      <c r="J82" s="2" t="s">
        <v>796</v>
      </c>
      <c r="K82" s="2"/>
      <c r="L82" s="2" t="s">
        <v>492</v>
      </c>
      <c r="M82" s="2" t="s">
        <v>485</v>
      </c>
      <c r="N82" s="2" t="s">
        <v>562</v>
      </c>
      <c r="O82" s="2">
        <v>29</v>
      </c>
      <c r="P82" s="2">
        <v>32</v>
      </c>
      <c r="Q82" s="2">
        <v>31</v>
      </c>
      <c r="R82" s="2" t="str">
        <f>CONCATENATE(A82,"_PI.fcs")</f>
        <v>RES_3_4_1_PI.fcs</v>
      </c>
      <c r="S82" s="2" t="s">
        <v>187</v>
      </c>
      <c r="T82" s="2" t="str">
        <f>CONCATENATE(A82,"_SG.fcs")</f>
        <v>RES_3_4_1_SG.fcs</v>
      </c>
      <c r="U82" s="2" t="s">
        <v>372</v>
      </c>
    </row>
    <row r="83" spans="1:21" x14ac:dyDescent="0.25">
      <c r="A83" s="2" t="str">
        <f t="shared" si="2"/>
        <v>RES_4_4_1</v>
      </c>
      <c r="B83" s="20">
        <v>43376</v>
      </c>
      <c r="C83" s="2">
        <v>4</v>
      </c>
      <c r="D83" s="2" t="s">
        <v>3</v>
      </c>
      <c r="E83" s="2">
        <v>1</v>
      </c>
      <c r="F83" s="2">
        <v>2018</v>
      </c>
      <c r="G83" s="2">
        <v>1</v>
      </c>
      <c r="H83" s="2" t="s">
        <v>687</v>
      </c>
      <c r="I83" s="2" t="s">
        <v>9</v>
      </c>
      <c r="J83" s="2" t="s">
        <v>797</v>
      </c>
      <c r="K83" s="2"/>
      <c r="L83" s="2" t="s">
        <v>635</v>
      </c>
      <c r="M83" s="2" t="s">
        <v>531</v>
      </c>
      <c r="N83" s="2" t="s">
        <v>595</v>
      </c>
      <c r="O83" s="2">
        <v>28</v>
      </c>
      <c r="P83" s="2">
        <v>29</v>
      </c>
      <c r="Q83" s="2">
        <v>24</v>
      </c>
      <c r="R83" s="2" t="str">
        <f>CONCATENATE(A83,"_PI.fcs")</f>
        <v>RES_4_4_1_PI.fcs</v>
      </c>
      <c r="S83" s="2" t="s">
        <v>188</v>
      </c>
      <c r="T83" s="2" t="str">
        <f>CONCATENATE(A83,"_SG.fcs")</f>
        <v>RES_4_4_1_SG.fcs</v>
      </c>
      <c r="U83" s="2" t="s">
        <v>373</v>
      </c>
    </row>
    <row r="84" spans="1:21" x14ac:dyDescent="0.25">
      <c r="A84" s="2" t="str">
        <f t="shared" si="2"/>
        <v>RES_5_4_1</v>
      </c>
      <c r="B84" s="20">
        <v>43376</v>
      </c>
      <c r="C84" s="2">
        <v>4</v>
      </c>
      <c r="D84" s="2" t="s">
        <v>3</v>
      </c>
      <c r="E84" s="2">
        <v>1</v>
      </c>
      <c r="F84" s="2">
        <v>2018</v>
      </c>
      <c r="G84" s="2">
        <v>1</v>
      </c>
      <c r="H84" s="2" t="s">
        <v>688</v>
      </c>
      <c r="I84" s="2" t="s">
        <v>9</v>
      </c>
      <c r="J84" s="2" t="s">
        <v>798</v>
      </c>
      <c r="K84" s="2"/>
      <c r="L84" s="2" t="s">
        <v>589</v>
      </c>
      <c r="M84" s="2" t="s">
        <v>546</v>
      </c>
      <c r="N84" s="2" t="s">
        <v>590</v>
      </c>
      <c r="O84" s="2">
        <v>29</v>
      </c>
      <c r="P84" s="2">
        <v>32</v>
      </c>
      <c r="Q84" s="2">
        <v>31</v>
      </c>
      <c r="R84" s="2" t="str">
        <f>CONCATENATE(A84,"_PI.fcs")</f>
        <v>RES_5_4_1_PI.fcs</v>
      </c>
      <c r="S84" s="2" t="s">
        <v>189</v>
      </c>
      <c r="T84" s="2" t="str">
        <f>CONCATENATE(A84,"_SG.fcs")</f>
        <v>RES_5_4_1_SG.fcs</v>
      </c>
      <c r="U84" s="2" t="s">
        <v>374</v>
      </c>
    </row>
    <row r="85" spans="1:21" x14ac:dyDescent="0.25">
      <c r="A85" s="2" t="str">
        <f t="shared" si="2"/>
        <v>RES_6_4_1</v>
      </c>
      <c r="B85" s="20">
        <v>43376</v>
      </c>
      <c r="C85" s="2">
        <v>4</v>
      </c>
      <c r="D85" s="2" t="s">
        <v>3</v>
      </c>
      <c r="E85" s="2">
        <v>1</v>
      </c>
      <c r="F85" s="2">
        <v>2018</v>
      </c>
      <c r="G85" s="2">
        <v>1</v>
      </c>
      <c r="H85" s="2" t="s">
        <v>689</v>
      </c>
      <c r="I85" s="2" t="s">
        <v>9</v>
      </c>
      <c r="J85" s="2" t="s">
        <v>798</v>
      </c>
      <c r="K85" s="2"/>
      <c r="L85" s="2" t="s">
        <v>616</v>
      </c>
      <c r="M85" s="2" t="s">
        <v>587</v>
      </c>
      <c r="N85" s="2" t="s">
        <v>510</v>
      </c>
      <c r="O85" s="2">
        <v>29</v>
      </c>
      <c r="P85" s="2">
        <v>32</v>
      </c>
      <c r="Q85" s="2">
        <v>31</v>
      </c>
      <c r="R85" s="2" t="str">
        <f>CONCATENATE(A85,"_PI.fcs")</f>
        <v>RES_6_4_1_PI.fcs</v>
      </c>
      <c r="S85" s="2" t="s">
        <v>190</v>
      </c>
      <c r="T85" s="2" t="str">
        <f>CONCATENATE(A85,"_SG.fcs")</f>
        <v>RES_6_4_1_SG.fcs</v>
      </c>
      <c r="U85" s="2" t="s">
        <v>375</v>
      </c>
    </row>
    <row r="86" spans="1:21" x14ac:dyDescent="0.25">
      <c r="A86" s="2" t="str">
        <f t="shared" si="2"/>
        <v>COM_1_4_1</v>
      </c>
      <c r="B86" s="20">
        <v>43383</v>
      </c>
      <c r="C86" s="2">
        <v>4</v>
      </c>
      <c r="D86" s="2" t="s">
        <v>3</v>
      </c>
      <c r="E86" s="2">
        <v>1</v>
      </c>
      <c r="F86" s="2">
        <v>2018</v>
      </c>
      <c r="G86" s="2">
        <v>2</v>
      </c>
      <c r="H86" s="2" t="s">
        <v>690</v>
      </c>
      <c r="I86" s="2" t="s">
        <v>10</v>
      </c>
      <c r="J86" s="2" t="s">
        <v>796</v>
      </c>
      <c r="K86" s="2"/>
      <c r="L86" s="2" t="s">
        <v>491</v>
      </c>
      <c r="M86" s="2" t="s">
        <v>493</v>
      </c>
      <c r="N86" s="2" t="s">
        <v>662</v>
      </c>
      <c r="O86" s="2">
        <v>29</v>
      </c>
      <c r="P86" s="2">
        <v>28</v>
      </c>
      <c r="Q86" s="2">
        <v>30</v>
      </c>
      <c r="R86" s="2" t="str">
        <f>CONCATENATE(A86,"_PI.fcs")</f>
        <v>COM_1_4_1_PI.fcs</v>
      </c>
      <c r="S86" s="2" t="s">
        <v>191</v>
      </c>
      <c r="T86" s="2" t="str">
        <f>CONCATENATE(A86,"_SG.fcs")</f>
        <v>COM_1_4_1_SG.fcs</v>
      </c>
      <c r="U86" s="2" t="s">
        <v>376</v>
      </c>
    </row>
    <row r="87" spans="1:21" x14ac:dyDescent="0.25">
      <c r="A87" s="2" t="str">
        <f t="shared" si="2"/>
        <v>COM_2_4_1</v>
      </c>
      <c r="B87" s="20">
        <v>43383</v>
      </c>
      <c r="C87" s="2">
        <v>4</v>
      </c>
      <c r="D87" s="2" t="s">
        <v>3</v>
      </c>
      <c r="E87" s="2">
        <v>1</v>
      </c>
      <c r="F87" s="2">
        <v>2018</v>
      </c>
      <c r="G87" s="2">
        <v>2</v>
      </c>
      <c r="H87" s="2" t="s">
        <v>692</v>
      </c>
      <c r="I87" s="2" t="s">
        <v>10</v>
      </c>
      <c r="J87" s="2" t="s">
        <v>796</v>
      </c>
      <c r="K87" s="2"/>
      <c r="L87" s="2" t="s">
        <v>631</v>
      </c>
      <c r="M87" s="2" t="s">
        <v>482</v>
      </c>
      <c r="N87" s="2" t="s">
        <v>648</v>
      </c>
      <c r="O87" s="2">
        <v>29</v>
      </c>
      <c r="P87" s="2">
        <v>28</v>
      </c>
      <c r="Q87" s="2">
        <v>30</v>
      </c>
      <c r="R87" s="2" t="str">
        <f>CONCATENATE(A87,"_PI.fcs")</f>
        <v>COM_2_4_1_PI.fcs</v>
      </c>
      <c r="S87" s="2" t="s">
        <v>193</v>
      </c>
      <c r="T87" s="2" t="str">
        <f>CONCATENATE(A87,"_SG.fcs")</f>
        <v>COM_2_4_1_SG.fcs</v>
      </c>
      <c r="U87" s="2" t="s">
        <v>378</v>
      </c>
    </row>
    <row r="88" spans="1:21" x14ac:dyDescent="0.25">
      <c r="A88" s="2" t="str">
        <f t="shared" si="2"/>
        <v>HOUSE_1_4_1</v>
      </c>
      <c r="B88" s="20">
        <v>43383</v>
      </c>
      <c r="C88" s="2">
        <v>4</v>
      </c>
      <c r="D88" s="2" t="s">
        <v>3</v>
      </c>
      <c r="E88" s="2">
        <v>1</v>
      </c>
      <c r="F88" s="2">
        <v>2018</v>
      </c>
      <c r="G88" s="2">
        <v>2</v>
      </c>
      <c r="H88" s="2" t="s">
        <v>691</v>
      </c>
      <c r="I88" s="2" t="s">
        <v>11</v>
      </c>
      <c r="J88" s="2" t="s">
        <v>796</v>
      </c>
      <c r="K88" s="2"/>
      <c r="L88" s="2" t="s">
        <v>563</v>
      </c>
      <c r="M88" s="2" t="s">
        <v>635</v>
      </c>
      <c r="N88" s="2" t="s">
        <v>573</v>
      </c>
      <c r="O88" s="2">
        <v>29</v>
      </c>
      <c r="P88" s="2">
        <v>28</v>
      </c>
      <c r="Q88" s="2">
        <v>30</v>
      </c>
      <c r="R88" s="2" t="str">
        <f>CONCATENATE(A88,"_PI.fcs")</f>
        <v>HOUSE_1_4_1_PI.fcs</v>
      </c>
      <c r="S88" s="2" t="s">
        <v>192</v>
      </c>
      <c r="T88" s="2" t="str">
        <f>CONCATENATE(A88,"_SG.fcs")</f>
        <v>HOUSE_1_4_1_SG.fcs</v>
      </c>
      <c r="U88" s="2" t="s">
        <v>377</v>
      </c>
    </row>
    <row r="89" spans="1:21" x14ac:dyDescent="0.25">
      <c r="A89" s="2" t="str">
        <f t="shared" si="2"/>
        <v>HOUSE_2_4_1</v>
      </c>
      <c r="B89" s="20">
        <v>43383</v>
      </c>
      <c r="C89" s="2">
        <v>4</v>
      </c>
      <c r="D89" s="2" t="s">
        <v>3</v>
      </c>
      <c r="E89" s="2">
        <v>1</v>
      </c>
      <c r="F89" s="2">
        <v>2018</v>
      </c>
      <c r="G89" s="2">
        <v>2</v>
      </c>
      <c r="H89" s="2" t="s">
        <v>693</v>
      </c>
      <c r="I89" s="2" t="s">
        <v>11</v>
      </c>
      <c r="J89" s="2" t="s">
        <v>796</v>
      </c>
      <c r="K89" s="2"/>
      <c r="L89" s="2" t="s">
        <v>536</v>
      </c>
      <c r="M89" s="2" t="s">
        <v>607</v>
      </c>
      <c r="N89" s="2" t="s">
        <v>499</v>
      </c>
      <c r="O89" s="2">
        <v>29</v>
      </c>
      <c r="P89" s="2">
        <v>28</v>
      </c>
      <c r="Q89" s="2">
        <v>30</v>
      </c>
      <c r="R89" s="2" t="str">
        <f>CONCATENATE(A89,"_PI.fcs")</f>
        <v>HOUSE_2_4_1_PI.fcs</v>
      </c>
      <c r="S89" s="2" t="s">
        <v>194</v>
      </c>
      <c r="T89" s="2" t="str">
        <f>CONCATENATE(A89,"_SG.fcs")</f>
        <v>HOUSE_2_4_1_SG.fcs</v>
      </c>
      <c r="U89" s="2" t="s">
        <v>379</v>
      </c>
    </row>
    <row r="90" spans="1:21" x14ac:dyDescent="0.25">
      <c r="A90" s="2" t="str">
        <f t="shared" si="2"/>
        <v>HOUSE_3_4_1</v>
      </c>
      <c r="B90" s="20">
        <v>43383</v>
      </c>
      <c r="C90" s="2">
        <v>4</v>
      </c>
      <c r="D90" s="2" t="s">
        <v>3</v>
      </c>
      <c r="E90" s="2">
        <v>1</v>
      </c>
      <c r="F90" s="2">
        <v>2018</v>
      </c>
      <c r="G90" s="2">
        <v>2</v>
      </c>
      <c r="H90" s="2" t="s">
        <v>694</v>
      </c>
      <c r="I90" s="2" t="s">
        <v>11</v>
      </c>
      <c r="J90" s="2" t="s">
        <v>796</v>
      </c>
      <c r="K90" s="2"/>
      <c r="L90" s="2" t="s">
        <v>553</v>
      </c>
      <c r="M90" s="2" t="s">
        <v>658</v>
      </c>
      <c r="N90" s="2" t="s">
        <v>495</v>
      </c>
      <c r="O90" s="2">
        <v>29</v>
      </c>
      <c r="P90" s="2">
        <v>28</v>
      </c>
      <c r="Q90" s="2">
        <v>30</v>
      </c>
      <c r="R90" s="2" t="str">
        <f>CONCATENATE(A90,"_PI.fcs")</f>
        <v>HOUSE_3_4_1_PI.fcs</v>
      </c>
      <c r="S90" s="2" t="s">
        <v>195</v>
      </c>
      <c r="T90" s="2" t="str">
        <f>CONCATENATE(A90,"_SG.fcs")</f>
        <v>HOUSE_3_4_1_SG.fcs</v>
      </c>
      <c r="U90" s="2" t="s">
        <v>380</v>
      </c>
    </row>
    <row r="91" spans="1:21" x14ac:dyDescent="0.25">
      <c r="A91" s="2" t="str">
        <f t="shared" si="2"/>
        <v>HOUSE_4_4_1</v>
      </c>
      <c r="B91" s="20">
        <v>43383</v>
      </c>
      <c r="C91" s="2">
        <v>4</v>
      </c>
      <c r="D91" s="2" t="s">
        <v>3</v>
      </c>
      <c r="E91" s="2">
        <v>1</v>
      </c>
      <c r="F91" s="2">
        <v>2018</v>
      </c>
      <c r="G91" s="2">
        <v>2</v>
      </c>
      <c r="H91" s="2" t="s">
        <v>695</v>
      </c>
      <c r="I91" s="2" t="s">
        <v>11</v>
      </c>
      <c r="J91" s="2" t="s">
        <v>796</v>
      </c>
      <c r="K91" s="2"/>
      <c r="L91" s="2" t="s">
        <v>568</v>
      </c>
      <c r="M91" s="2" t="s">
        <v>512</v>
      </c>
      <c r="N91" s="2" t="s">
        <v>656</v>
      </c>
      <c r="O91" s="2">
        <v>29</v>
      </c>
      <c r="P91" s="2">
        <v>28</v>
      </c>
      <c r="Q91" s="2">
        <v>30</v>
      </c>
      <c r="R91" s="2" t="str">
        <f>CONCATENATE(A91,"_PI.fcs")</f>
        <v>HOUSE_4_4_1_PI.fcs</v>
      </c>
      <c r="S91" s="2" t="s">
        <v>196</v>
      </c>
      <c r="T91" s="2" t="str">
        <f>CONCATENATE(A91,"_SG.fcs")</f>
        <v>HOUSE_4_4_1_SG.fcs</v>
      </c>
      <c r="U91" s="2" t="s">
        <v>381</v>
      </c>
    </row>
    <row r="92" spans="1:21" x14ac:dyDescent="0.25">
      <c r="A92" s="2" t="str">
        <f t="shared" si="2"/>
        <v>RES_1_4_2</v>
      </c>
      <c r="B92" s="20">
        <v>43390</v>
      </c>
      <c r="C92" s="2">
        <v>4</v>
      </c>
      <c r="D92" s="2" t="s">
        <v>3</v>
      </c>
      <c r="E92" s="2">
        <v>2</v>
      </c>
      <c r="F92" s="2">
        <v>2018</v>
      </c>
      <c r="G92" s="2">
        <v>3</v>
      </c>
      <c r="H92" s="2" t="s">
        <v>684</v>
      </c>
      <c r="I92" s="2" t="s">
        <v>9</v>
      </c>
      <c r="J92" s="2" t="s">
        <v>796</v>
      </c>
      <c r="K92" s="2"/>
      <c r="L92" s="2" t="s">
        <v>500</v>
      </c>
      <c r="M92" s="2" t="s">
        <v>489</v>
      </c>
      <c r="N92" s="2" t="s">
        <v>501</v>
      </c>
      <c r="O92" s="2">
        <v>13</v>
      </c>
      <c r="P92" s="2">
        <v>29</v>
      </c>
      <c r="Q92" s="2">
        <v>28</v>
      </c>
      <c r="R92" s="2" t="str">
        <f>CONCATENATE(A92,"_PI.fcs")</f>
        <v>RES_1_4_2_PI.fcs</v>
      </c>
      <c r="S92" s="2" t="s">
        <v>197</v>
      </c>
      <c r="T92" s="2" t="str">
        <f>CONCATENATE(A92,"_SG.fcs")</f>
        <v>RES_1_4_2_SG.fcs</v>
      </c>
      <c r="U92" s="2" t="s">
        <v>382</v>
      </c>
    </row>
    <row r="93" spans="1:21" x14ac:dyDescent="0.25">
      <c r="A93" s="2" t="str">
        <f t="shared" si="2"/>
        <v>RES_2_4_2</v>
      </c>
      <c r="B93" s="20">
        <v>43390</v>
      </c>
      <c r="C93" s="2">
        <v>4</v>
      </c>
      <c r="D93" s="2" t="s">
        <v>3</v>
      </c>
      <c r="E93" s="2">
        <v>2</v>
      </c>
      <c r="F93" s="2">
        <v>2018</v>
      </c>
      <c r="G93" s="2">
        <v>3</v>
      </c>
      <c r="H93" s="2" t="s">
        <v>685</v>
      </c>
      <c r="I93" s="2" t="s">
        <v>9</v>
      </c>
      <c r="J93" s="2" t="s">
        <v>796</v>
      </c>
      <c r="K93" s="2"/>
      <c r="L93" s="2" t="s">
        <v>496</v>
      </c>
      <c r="M93" s="2" t="s">
        <v>482</v>
      </c>
      <c r="N93" s="2" t="s">
        <v>533</v>
      </c>
      <c r="O93" s="2">
        <v>13</v>
      </c>
      <c r="P93" s="2">
        <v>29</v>
      </c>
      <c r="Q93" s="2">
        <v>28</v>
      </c>
      <c r="R93" s="2" t="str">
        <f>CONCATENATE(A93,"_PI.fcs")</f>
        <v>RES_2_4_2_PI.fcs</v>
      </c>
      <c r="S93" s="2" t="s">
        <v>198</v>
      </c>
      <c r="T93" s="2" t="str">
        <f>CONCATENATE(A93,"_SG.fcs")</f>
        <v>RES_2_4_2_SG.fcs</v>
      </c>
      <c r="U93" s="2" t="s">
        <v>383</v>
      </c>
    </row>
    <row r="94" spans="1:21" x14ac:dyDescent="0.25">
      <c r="A94" s="2" t="str">
        <f t="shared" si="2"/>
        <v>RES_3_4_2</v>
      </c>
      <c r="B94" s="20">
        <v>43390</v>
      </c>
      <c r="C94" s="2">
        <v>4</v>
      </c>
      <c r="D94" s="2" t="s">
        <v>3</v>
      </c>
      <c r="E94" s="2">
        <v>2</v>
      </c>
      <c r="F94" s="2">
        <v>2018</v>
      </c>
      <c r="G94" s="2">
        <v>3</v>
      </c>
      <c r="H94" s="2" t="s">
        <v>686</v>
      </c>
      <c r="I94" s="2" t="s">
        <v>9</v>
      </c>
      <c r="J94" s="2" t="s">
        <v>796</v>
      </c>
      <c r="K94" s="2"/>
      <c r="L94" s="2" t="s">
        <v>563</v>
      </c>
      <c r="M94" s="2" t="s">
        <v>564</v>
      </c>
      <c r="N94" s="2" t="s">
        <v>565</v>
      </c>
      <c r="O94" s="2">
        <v>23</v>
      </c>
      <c r="P94" s="2">
        <v>31</v>
      </c>
      <c r="Q94" s="2">
        <v>32</v>
      </c>
      <c r="R94" s="2" t="str">
        <f>CONCATENATE(A94,"_PI.fcs")</f>
        <v>RES_3_4_2_PI.fcs</v>
      </c>
      <c r="S94" s="2" t="s">
        <v>199</v>
      </c>
      <c r="T94" s="2" t="str">
        <f>CONCATENATE(A94,"_SG.fcs")</f>
        <v>RES_3_4_2_SG.fcs</v>
      </c>
      <c r="U94" s="2" t="s">
        <v>384</v>
      </c>
    </row>
    <row r="95" spans="1:21" x14ac:dyDescent="0.25">
      <c r="A95" s="2" t="str">
        <f t="shared" si="2"/>
        <v>RES_4_4_2</v>
      </c>
      <c r="B95" s="20">
        <v>43390</v>
      </c>
      <c r="C95" s="2">
        <v>4</v>
      </c>
      <c r="D95" s="2" t="s">
        <v>3</v>
      </c>
      <c r="E95" s="2">
        <v>2</v>
      </c>
      <c r="F95" s="2">
        <v>2018</v>
      </c>
      <c r="G95" s="2">
        <v>3</v>
      </c>
      <c r="H95" s="2" t="s">
        <v>687</v>
      </c>
      <c r="I95" s="2" t="s">
        <v>9</v>
      </c>
      <c r="J95" s="2" t="s">
        <v>797</v>
      </c>
      <c r="K95" s="2"/>
      <c r="L95" s="2" t="s">
        <v>636</v>
      </c>
      <c r="M95" s="2" t="s">
        <v>556</v>
      </c>
      <c r="N95" s="2" t="s">
        <v>537</v>
      </c>
      <c r="O95" s="2">
        <v>14</v>
      </c>
      <c r="P95" s="2">
        <v>26</v>
      </c>
      <c r="Q95" s="2">
        <v>28</v>
      </c>
      <c r="R95" s="2" t="str">
        <f>CONCATENATE(A95,"_PI.fcs")</f>
        <v>RES_4_4_2_PI.fcs</v>
      </c>
      <c r="S95" s="2" t="s">
        <v>200</v>
      </c>
      <c r="T95" s="2" t="str">
        <f>CONCATENATE(A95,"_SG.fcs")</f>
        <v>RES_4_4_2_SG.fcs</v>
      </c>
      <c r="U95" s="2" t="s">
        <v>385</v>
      </c>
    </row>
    <row r="96" spans="1:21" x14ac:dyDescent="0.25">
      <c r="A96" s="2" t="str">
        <f t="shared" si="2"/>
        <v>RES_5_4_2</v>
      </c>
      <c r="B96" s="20">
        <v>43390</v>
      </c>
      <c r="C96" s="2">
        <v>4</v>
      </c>
      <c r="D96" s="2" t="s">
        <v>3</v>
      </c>
      <c r="E96" s="2">
        <v>2</v>
      </c>
      <c r="F96" s="2">
        <v>2018</v>
      </c>
      <c r="G96" s="2">
        <v>3</v>
      </c>
      <c r="H96" s="2" t="s">
        <v>688</v>
      </c>
      <c r="I96" s="2" t="s">
        <v>9</v>
      </c>
      <c r="J96" s="2" t="s">
        <v>798</v>
      </c>
      <c r="K96" s="2"/>
      <c r="L96" s="2" t="s">
        <v>591</v>
      </c>
      <c r="M96" s="2" t="s">
        <v>531</v>
      </c>
      <c r="N96" s="2" t="s">
        <v>592</v>
      </c>
      <c r="O96" s="2">
        <v>23</v>
      </c>
      <c r="P96" s="2">
        <v>31</v>
      </c>
      <c r="Q96" s="2">
        <v>32</v>
      </c>
      <c r="R96" s="2" t="str">
        <f>CONCATENATE(A96,"_PI.fcs")</f>
        <v>RES_5_4_2_PI.fcs</v>
      </c>
      <c r="S96" s="2" t="s">
        <v>201</v>
      </c>
      <c r="T96" s="2" t="str">
        <f>CONCATENATE(A96,"_SG.fcs")</f>
        <v>RES_5_4_2_SG.fcs</v>
      </c>
      <c r="U96" s="2" t="s">
        <v>386</v>
      </c>
    </row>
    <row r="97" spans="1:21" x14ac:dyDescent="0.25">
      <c r="A97" s="2" t="str">
        <f t="shared" si="2"/>
        <v>RES_6_4_2</v>
      </c>
      <c r="B97" s="20">
        <v>43390</v>
      </c>
      <c r="C97" s="2">
        <v>4</v>
      </c>
      <c r="D97" s="2" t="s">
        <v>3</v>
      </c>
      <c r="E97" s="2">
        <v>2</v>
      </c>
      <c r="F97" s="2">
        <v>2018</v>
      </c>
      <c r="G97" s="2">
        <v>3</v>
      </c>
      <c r="H97" s="2" t="s">
        <v>689</v>
      </c>
      <c r="I97" s="2" t="s">
        <v>9</v>
      </c>
      <c r="J97" s="2" t="s">
        <v>798</v>
      </c>
      <c r="K97" s="2"/>
      <c r="L97" s="2" t="s">
        <v>617</v>
      </c>
      <c r="M97" s="2" t="s">
        <v>512</v>
      </c>
      <c r="N97" s="2" t="s">
        <v>523</v>
      </c>
      <c r="O97" s="2">
        <v>23</v>
      </c>
      <c r="P97" s="2">
        <v>31</v>
      </c>
      <c r="Q97" s="2">
        <v>32</v>
      </c>
      <c r="R97" s="2" t="str">
        <f>CONCATENATE(A97,"_PI.fcs")</f>
        <v>RES_6_4_2_PI.fcs</v>
      </c>
      <c r="S97" s="2" t="s">
        <v>202</v>
      </c>
      <c r="T97" s="2" t="str">
        <f>CONCATENATE(A97,"_SG.fcs")</f>
        <v>RES_6_4_2_SG.fcs</v>
      </c>
      <c r="U97" s="2" t="s">
        <v>387</v>
      </c>
    </row>
    <row r="98" spans="1:21" x14ac:dyDescent="0.25">
      <c r="A98" s="2" t="str">
        <f t="shared" ref="A98:A129" si="3">CONCATENATE(H98,"_",C98,"_",E98)</f>
        <v>RES_1_4_2</v>
      </c>
      <c r="B98" s="20">
        <v>43404</v>
      </c>
      <c r="C98" s="2">
        <v>4</v>
      </c>
      <c r="D98" s="2" t="s">
        <v>3</v>
      </c>
      <c r="E98" s="2">
        <v>2</v>
      </c>
      <c r="F98" s="2">
        <v>2018</v>
      </c>
      <c r="G98" s="2">
        <v>1</v>
      </c>
      <c r="H98" s="2" t="s">
        <v>684</v>
      </c>
      <c r="I98" s="2" t="s">
        <v>9</v>
      </c>
      <c r="J98" s="2" t="s">
        <v>796</v>
      </c>
      <c r="K98" s="2" t="s">
        <v>30</v>
      </c>
      <c r="L98" s="2" t="s">
        <v>493</v>
      </c>
      <c r="M98" s="2" t="s">
        <v>482</v>
      </c>
      <c r="N98" s="2" t="s">
        <v>502</v>
      </c>
      <c r="O98" s="2">
        <v>29</v>
      </c>
      <c r="P98" s="2">
        <v>31</v>
      </c>
      <c r="Q98" s="2">
        <v>30</v>
      </c>
      <c r="R98" s="2" t="str">
        <f>CONCATENATE(A98,"_PI.fcs")</f>
        <v>RES_1_4_2_PI.fcs</v>
      </c>
      <c r="S98" s="2" t="s">
        <v>203</v>
      </c>
      <c r="T98" s="2" t="str">
        <f>CONCATENATE(A98,"_SG.fcs")</f>
        <v>RES_1_4_2_SG.fcs</v>
      </c>
      <c r="U98" s="2" t="s">
        <v>388</v>
      </c>
    </row>
    <row r="99" spans="1:21" x14ac:dyDescent="0.25">
      <c r="A99" s="2" t="str">
        <f t="shared" si="3"/>
        <v>RES_2_4_2</v>
      </c>
      <c r="B99" s="20">
        <v>43404</v>
      </c>
      <c r="C99" s="2">
        <v>4</v>
      </c>
      <c r="D99" s="2" t="s">
        <v>3</v>
      </c>
      <c r="E99" s="2">
        <v>2</v>
      </c>
      <c r="F99" s="2">
        <v>2018</v>
      </c>
      <c r="G99" s="2">
        <v>1</v>
      </c>
      <c r="H99" s="2" t="s">
        <v>685</v>
      </c>
      <c r="I99" s="2" t="s">
        <v>9</v>
      </c>
      <c r="J99" s="2" t="s">
        <v>796</v>
      </c>
      <c r="K99" s="2" t="s">
        <v>40</v>
      </c>
      <c r="L99" s="2" t="s">
        <v>496</v>
      </c>
      <c r="M99" s="2" t="s">
        <v>482</v>
      </c>
      <c r="N99" s="2" t="s">
        <v>534</v>
      </c>
      <c r="O99" s="2">
        <v>29</v>
      </c>
      <c r="P99" s="2">
        <v>31</v>
      </c>
      <c r="Q99" s="2">
        <v>30</v>
      </c>
      <c r="R99" s="2" t="str">
        <f>CONCATENATE(A99,"_PI.fcs")</f>
        <v>RES_2_4_2_PI.fcs</v>
      </c>
      <c r="S99" s="2" t="s">
        <v>204</v>
      </c>
      <c r="T99" s="2" t="str">
        <f>CONCATENATE(A99,"_SG.fcs")</f>
        <v>RES_2_4_2_SG.fcs</v>
      </c>
      <c r="U99" s="2" t="s">
        <v>389</v>
      </c>
    </row>
    <row r="100" spans="1:21" x14ac:dyDescent="0.25">
      <c r="A100" s="2" t="str">
        <f t="shared" si="3"/>
        <v>RES_3_4_2</v>
      </c>
      <c r="B100" s="20">
        <v>43404</v>
      </c>
      <c r="C100" s="2">
        <v>4</v>
      </c>
      <c r="D100" s="2" t="s">
        <v>3</v>
      </c>
      <c r="E100" s="2">
        <v>2</v>
      </c>
      <c r="F100" s="2">
        <v>2018</v>
      </c>
      <c r="G100" s="2">
        <v>1</v>
      </c>
      <c r="H100" s="2" t="s">
        <v>686</v>
      </c>
      <c r="I100" s="2" t="s">
        <v>9</v>
      </c>
      <c r="J100" s="2" t="s">
        <v>796</v>
      </c>
      <c r="K100" s="2"/>
      <c r="L100" s="2" t="s">
        <v>556</v>
      </c>
      <c r="M100" s="2" t="s">
        <v>512</v>
      </c>
      <c r="N100" s="2" t="s">
        <v>566</v>
      </c>
      <c r="O100" s="2">
        <v>34</v>
      </c>
      <c r="P100" s="2">
        <v>35</v>
      </c>
      <c r="Q100" s="2">
        <v>35</v>
      </c>
      <c r="R100" s="2" t="str">
        <f>CONCATENATE(A100,"_PI.fcs")</f>
        <v>RES_3_4_2_PI.fcs</v>
      </c>
      <c r="S100" s="2" t="s">
        <v>205</v>
      </c>
      <c r="T100" s="2" t="str">
        <f>CONCATENATE(A100,"_SG.fcs")</f>
        <v>RES_3_4_2_SG.fcs</v>
      </c>
      <c r="U100" s="2" t="s">
        <v>390</v>
      </c>
    </row>
    <row r="101" spans="1:21" x14ac:dyDescent="0.25">
      <c r="A101" s="2" t="str">
        <f t="shared" si="3"/>
        <v>RES_4_4_2</v>
      </c>
      <c r="B101" s="20">
        <v>43404</v>
      </c>
      <c r="C101" s="2">
        <v>4</v>
      </c>
      <c r="D101" s="2" t="s">
        <v>3</v>
      </c>
      <c r="E101" s="2">
        <v>2</v>
      </c>
      <c r="F101" s="2">
        <v>2018</v>
      </c>
      <c r="G101" s="2">
        <v>1</v>
      </c>
      <c r="H101" s="2" t="s">
        <v>687</v>
      </c>
      <c r="I101" s="2" t="s">
        <v>9</v>
      </c>
      <c r="J101" s="2" t="s">
        <v>797</v>
      </c>
      <c r="K101" s="2"/>
      <c r="L101" s="2" t="s">
        <v>603</v>
      </c>
      <c r="M101" s="2" t="s">
        <v>580</v>
      </c>
      <c r="N101" s="2" t="s">
        <v>623</v>
      </c>
      <c r="O101" s="2">
        <v>31</v>
      </c>
      <c r="P101" s="2">
        <v>32</v>
      </c>
      <c r="Q101" s="2">
        <v>32</v>
      </c>
      <c r="R101" s="2" t="str">
        <f>CONCATENATE(A101,"_PI.fcs")</f>
        <v>RES_4_4_2_PI.fcs</v>
      </c>
      <c r="S101" s="2" t="s">
        <v>206</v>
      </c>
      <c r="T101" s="2" t="str">
        <f>CONCATENATE(A101,"_SG.fcs")</f>
        <v>RES_4_4_2_SG.fcs</v>
      </c>
      <c r="U101" s="2" t="s">
        <v>391</v>
      </c>
    </row>
    <row r="102" spans="1:21" x14ac:dyDescent="0.25">
      <c r="A102" s="2" t="str">
        <f t="shared" si="3"/>
        <v>RES_5_4_2</v>
      </c>
      <c r="B102" s="20">
        <v>43404</v>
      </c>
      <c r="C102" s="2">
        <v>4</v>
      </c>
      <c r="D102" s="2" t="s">
        <v>3</v>
      </c>
      <c r="E102" s="2">
        <v>2</v>
      </c>
      <c r="F102" s="2">
        <v>2018</v>
      </c>
      <c r="G102" s="2">
        <v>1</v>
      </c>
      <c r="H102" s="2" t="s">
        <v>688</v>
      </c>
      <c r="I102" s="2" t="s">
        <v>9</v>
      </c>
      <c r="J102" s="2" t="s">
        <v>798</v>
      </c>
      <c r="K102" s="2"/>
      <c r="L102" s="2" t="s">
        <v>593</v>
      </c>
      <c r="M102" s="2" t="s">
        <v>531</v>
      </c>
      <c r="N102" s="2" t="s">
        <v>595</v>
      </c>
      <c r="O102" s="2">
        <v>34</v>
      </c>
      <c r="P102" s="2">
        <v>35</v>
      </c>
      <c r="Q102" s="2">
        <v>35</v>
      </c>
      <c r="R102" s="2" t="str">
        <f>CONCATENATE(A102,"_PI.fcs")</f>
        <v>RES_5_4_2_PI.fcs</v>
      </c>
      <c r="S102" s="2" t="s">
        <v>207</v>
      </c>
      <c r="T102" s="2" t="str">
        <f>CONCATENATE(A102,"_SG.fcs")</f>
        <v>RES_5_4_2_SG.fcs</v>
      </c>
      <c r="U102" s="2" t="s">
        <v>392</v>
      </c>
    </row>
    <row r="103" spans="1:21" x14ac:dyDescent="0.25">
      <c r="A103" s="2" t="str">
        <f t="shared" si="3"/>
        <v>RES_6_4_2</v>
      </c>
      <c r="B103" s="20">
        <v>43404</v>
      </c>
      <c r="C103" s="2">
        <v>4</v>
      </c>
      <c r="D103" s="2" t="s">
        <v>3</v>
      </c>
      <c r="E103" s="2">
        <v>2</v>
      </c>
      <c r="F103" s="2">
        <v>2018</v>
      </c>
      <c r="G103" s="2">
        <v>1</v>
      </c>
      <c r="H103" s="2" t="s">
        <v>689</v>
      </c>
      <c r="I103" s="2" t="s">
        <v>9</v>
      </c>
      <c r="J103" s="2" t="s">
        <v>798</v>
      </c>
      <c r="K103" s="2"/>
      <c r="L103" s="2" t="s">
        <v>524</v>
      </c>
      <c r="M103" s="2" t="s">
        <v>491</v>
      </c>
      <c r="N103" s="2" t="s">
        <v>592</v>
      </c>
      <c r="O103" s="2">
        <v>34</v>
      </c>
      <c r="P103" s="2">
        <v>35</v>
      </c>
      <c r="Q103" s="2">
        <v>35</v>
      </c>
      <c r="R103" s="2" t="str">
        <f>CONCATENATE(A103,"_PI.fcs")</f>
        <v>RES_6_4_2_PI.fcs</v>
      </c>
      <c r="S103" s="2" t="s">
        <v>208</v>
      </c>
      <c r="T103" s="2" t="str">
        <f>CONCATENATE(A103,"_SG.fcs")</f>
        <v>RES_6_4_2_SG.fcs</v>
      </c>
      <c r="U103" s="2" t="s">
        <v>393</v>
      </c>
    </row>
    <row r="104" spans="1:21" x14ac:dyDescent="0.25">
      <c r="A104" s="2" t="str">
        <f t="shared" si="3"/>
        <v>COM_1_5_1</v>
      </c>
      <c r="B104" s="20">
        <v>43411</v>
      </c>
      <c r="C104" s="2">
        <v>5</v>
      </c>
      <c r="D104" s="2" t="s">
        <v>4</v>
      </c>
      <c r="E104" s="2">
        <v>1</v>
      </c>
      <c r="F104" s="2">
        <v>2018</v>
      </c>
      <c r="G104" s="2">
        <v>2</v>
      </c>
      <c r="H104" s="2" t="s">
        <v>690</v>
      </c>
      <c r="I104" s="2" t="s">
        <v>10</v>
      </c>
      <c r="J104" s="2" t="s">
        <v>796</v>
      </c>
      <c r="K104" s="2" t="s">
        <v>19</v>
      </c>
      <c r="L104" s="2" t="s">
        <v>522</v>
      </c>
      <c r="M104" s="2" t="s">
        <v>489</v>
      </c>
      <c r="N104" s="2" t="s">
        <v>572</v>
      </c>
      <c r="O104" s="2">
        <v>26</v>
      </c>
      <c r="P104" s="2">
        <v>31</v>
      </c>
      <c r="Q104" s="2">
        <v>25</v>
      </c>
      <c r="R104" s="2" t="str">
        <f>CONCATENATE(A104,"_PI.fcs")</f>
        <v>COM_1_5_1_PI.fcs</v>
      </c>
      <c r="S104" s="2" t="s">
        <v>209</v>
      </c>
      <c r="T104" s="2" t="str">
        <f>CONCATENATE(A104,"_SG.fcs")</f>
        <v>COM_1_5_1_SG.fcs</v>
      </c>
      <c r="U104" s="2" t="s">
        <v>394</v>
      </c>
    </row>
    <row r="105" spans="1:21" x14ac:dyDescent="0.25">
      <c r="A105" s="2" t="str">
        <f t="shared" si="3"/>
        <v>COM_2_5_1</v>
      </c>
      <c r="B105" s="20">
        <v>43411</v>
      </c>
      <c r="C105" s="2">
        <v>5</v>
      </c>
      <c r="D105" s="2" t="s">
        <v>4</v>
      </c>
      <c r="E105" s="2">
        <v>1</v>
      </c>
      <c r="F105" s="2">
        <v>2018</v>
      </c>
      <c r="G105" s="2">
        <v>2</v>
      </c>
      <c r="H105" s="2" t="s">
        <v>692</v>
      </c>
      <c r="I105" s="2" t="s">
        <v>10</v>
      </c>
      <c r="J105" s="2" t="s">
        <v>796</v>
      </c>
      <c r="K105" s="2"/>
      <c r="L105" s="2" t="s">
        <v>569</v>
      </c>
      <c r="M105" s="2" t="s">
        <v>493</v>
      </c>
      <c r="N105" s="2" t="s">
        <v>649</v>
      </c>
      <c r="O105" s="2">
        <v>26</v>
      </c>
      <c r="P105" s="2">
        <v>31</v>
      </c>
      <c r="Q105" s="2">
        <v>25</v>
      </c>
      <c r="R105" s="2" t="str">
        <f>CONCATENATE(A105,"_PI.fcs")</f>
        <v>COM_2_5_1_PI.fcs</v>
      </c>
      <c r="S105" s="2" t="s">
        <v>211</v>
      </c>
      <c r="T105" s="2" t="str">
        <f>CONCATENATE(A105,"_SG.fcs")</f>
        <v>COM_2_5_1_SG.fcs</v>
      </c>
      <c r="U105" s="2" t="s">
        <v>396</v>
      </c>
    </row>
    <row r="106" spans="1:21" x14ac:dyDescent="0.25">
      <c r="A106" s="2" t="str">
        <f t="shared" si="3"/>
        <v>HOUSE_1_5_1</v>
      </c>
      <c r="B106" s="20">
        <v>43411</v>
      </c>
      <c r="C106" s="2">
        <v>5</v>
      </c>
      <c r="D106" s="2" t="s">
        <v>4</v>
      </c>
      <c r="E106" s="2">
        <v>1</v>
      </c>
      <c r="F106" s="2">
        <v>2018</v>
      </c>
      <c r="G106" s="2">
        <v>2</v>
      </c>
      <c r="H106" s="2" t="s">
        <v>691</v>
      </c>
      <c r="I106" s="2" t="s">
        <v>11</v>
      </c>
      <c r="J106" s="2" t="s">
        <v>796</v>
      </c>
      <c r="K106" s="2" t="s">
        <v>54</v>
      </c>
      <c r="L106" s="2" t="s">
        <v>597</v>
      </c>
      <c r="M106" s="2" t="s">
        <v>485</v>
      </c>
      <c r="N106" s="2" t="s">
        <v>649</v>
      </c>
      <c r="O106" s="2">
        <v>26</v>
      </c>
      <c r="P106" s="2">
        <v>31</v>
      </c>
      <c r="Q106" s="2">
        <v>25</v>
      </c>
      <c r="R106" s="2" t="str">
        <f>CONCATENATE(A106,"_PI.fcs")</f>
        <v>HOUSE_1_5_1_PI.fcs</v>
      </c>
      <c r="S106" s="2" t="s">
        <v>210</v>
      </c>
      <c r="T106" s="2" t="str">
        <f>CONCATENATE(A106,"_SG.fcs")</f>
        <v>HOUSE_1_5_1_SG.fcs</v>
      </c>
      <c r="U106" s="2" t="s">
        <v>395</v>
      </c>
    </row>
    <row r="107" spans="1:21" x14ac:dyDescent="0.25">
      <c r="A107" s="2" t="str">
        <f t="shared" si="3"/>
        <v>HOUSE_2_5_1</v>
      </c>
      <c r="B107" s="20">
        <v>43411</v>
      </c>
      <c r="C107" s="2">
        <v>5</v>
      </c>
      <c r="D107" s="2" t="s">
        <v>4</v>
      </c>
      <c r="E107" s="2">
        <v>1</v>
      </c>
      <c r="F107" s="2">
        <v>2018</v>
      </c>
      <c r="G107" s="2">
        <v>2</v>
      </c>
      <c r="H107" s="2" t="s">
        <v>693</v>
      </c>
      <c r="I107" s="2" t="s">
        <v>11</v>
      </c>
      <c r="J107" s="2" t="s">
        <v>796</v>
      </c>
      <c r="K107" s="2" t="s">
        <v>85</v>
      </c>
      <c r="L107" s="2" t="s">
        <v>601</v>
      </c>
      <c r="M107" s="2" t="s">
        <v>485</v>
      </c>
      <c r="N107" s="2" t="s">
        <v>499</v>
      </c>
      <c r="O107" s="2">
        <v>26</v>
      </c>
      <c r="P107" s="2">
        <v>31</v>
      </c>
      <c r="Q107" s="2">
        <v>25</v>
      </c>
      <c r="R107" s="2" t="str">
        <f>CONCATENATE(A107,"_PI.fcs")</f>
        <v>HOUSE_2_5_1_PI.fcs</v>
      </c>
      <c r="S107" s="2" t="s">
        <v>212</v>
      </c>
      <c r="T107" s="2" t="str">
        <f>CONCATENATE(A107,"_SG.fcs")</f>
        <v>HOUSE_2_5_1_SG.fcs</v>
      </c>
      <c r="U107" s="2" t="s">
        <v>397</v>
      </c>
    </row>
    <row r="108" spans="1:21" x14ac:dyDescent="0.25">
      <c r="A108" s="2" t="str">
        <f t="shared" si="3"/>
        <v>HOUSE_3_5_1</v>
      </c>
      <c r="B108" s="20">
        <v>43411</v>
      </c>
      <c r="C108" s="2">
        <v>5</v>
      </c>
      <c r="D108" s="2" t="s">
        <v>4</v>
      </c>
      <c r="E108" s="2">
        <v>1</v>
      </c>
      <c r="F108" s="2">
        <v>2018</v>
      </c>
      <c r="G108" s="2">
        <v>2</v>
      </c>
      <c r="H108" s="2" t="s">
        <v>694</v>
      </c>
      <c r="I108" s="2" t="s">
        <v>11</v>
      </c>
      <c r="J108" s="2" t="s">
        <v>796</v>
      </c>
      <c r="K108" s="2"/>
      <c r="L108" s="2" t="s">
        <v>619</v>
      </c>
      <c r="M108" s="2" t="s">
        <v>483</v>
      </c>
      <c r="N108" s="2" t="s">
        <v>634</v>
      </c>
      <c r="O108" s="2">
        <v>26</v>
      </c>
      <c r="P108" s="2">
        <v>31</v>
      </c>
      <c r="Q108" s="2">
        <v>25</v>
      </c>
      <c r="R108" s="2" t="str">
        <f>CONCATENATE(A108,"_PI.fcs")</f>
        <v>HOUSE_3_5_1_PI.fcs</v>
      </c>
      <c r="S108" s="2" t="s">
        <v>213</v>
      </c>
      <c r="T108" s="2" t="str">
        <f>CONCATENATE(A108,"_SG.fcs")</f>
        <v>HOUSE_3_5_1_SG.fcs</v>
      </c>
      <c r="U108" s="2" t="s">
        <v>398</v>
      </c>
    </row>
    <row r="109" spans="1:21" x14ac:dyDescent="0.25">
      <c r="A109" s="2" t="str">
        <f t="shared" si="3"/>
        <v>HOUSE_4_5_1</v>
      </c>
      <c r="B109" s="20">
        <v>43411</v>
      </c>
      <c r="C109" s="2">
        <v>5</v>
      </c>
      <c r="D109" s="2" t="s">
        <v>4</v>
      </c>
      <c r="E109" s="2">
        <v>1</v>
      </c>
      <c r="F109" s="2">
        <v>2018</v>
      </c>
      <c r="G109" s="2">
        <v>2</v>
      </c>
      <c r="H109" s="2" t="s">
        <v>695</v>
      </c>
      <c r="I109" s="2" t="s">
        <v>11</v>
      </c>
      <c r="J109" s="2" t="s">
        <v>796</v>
      </c>
      <c r="K109" s="2"/>
      <c r="L109" s="2" t="s">
        <v>632</v>
      </c>
      <c r="M109" s="2" t="s">
        <v>512</v>
      </c>
      <c r="N109" s="2" t="s">
        <v>558</v>
      </c>
      <c r="O109" s="2">
        <v>26</v>
      </c>
      <c r="P109" s="2">
        <v>31</v>
      </c>
      <c r="Q109" s="2">
        <v>25</v>
      </c>
      <c r="R109" s="2" t="str">
        <f>CONCATENATE(A109,"_PI.fcs")</f>
        <v>HOUSE_4_5_1_PI.fcs</v>
      </c>
      <c r="S109" s="2" t="s">
        <v>214</v>
      </c>
      <c r="T109" s="2" t="str">
        <f>CONCATENATE(A109,"_SG.fcs")</f>
        <v>HOUSE_4_5_1_SG.fcs</v>
      </c>
      <c r="U109" s="2" t="s">
        <v>399</v>
      </c>
    </row>
    <row r="110" spans="1:21" x14ac:dyDescent="0.25">
      <c r="A110" s="2" t="str">
        <f t="shared" si="3"/>
        <v>RES_1_5_1</v>
      </c>
      <c r="B110" s="20">
        <v>43418</v>
      </c>
      <c r="C110" s="2">
        <v>5</v>
      </c>
      <c r="D110" s="2" t="s">
        <v>4</v>
      </c>
      <c r="E110" s="2">
        <v>1</v>
      </c>
      <c r="F110" s="2">
        <v>2018</v>
      </c>
      <c r="G110" s="2">
        <v>3</v>
      </c>
      <c r="H110" s="2" t="s">
        <v>684</v>
      </c>
      <c r="I110" s="2" t="s">
        <v>9</v>
      </c>
      <c r="J110" s="2" t="s">
        <v>796</v>
      </c>
      <c r="K110" s="2"/>
      <c r="L110" s="2" t="s">
        <v>503</v>
      </c>
      <c r="M110" s="2" t="s">
        <v>496</v>
      </c>
      <c r="N110" s="2" t="s">
        <v>504</v>
      </c>
      <c r="O110" s="2">
        <v>32</v>
      </c>
      <c r="P110" s="2">
        <v>28</v>
      </c>
      <c r="Q110" s="2">
        <v>31</v>
      </c>
      <c r="R110" s="2" t="str">
        <f>CONCATENATE(A110,"_PI.fcs")</f>
        <v>RES_1_5_1_PI.fcs</v>
      </c>
      <c r="S110" s="2" t="s">
        <v>215</v>
      </c>
      <c r="T110" s="2" t="str">
        <f>CONCATENATE(A110,"_SG.fcs")</f>
        <v>RES_1_5_1_SG.fcs</v>
      </c>
      <c r="U110" s="2" t="s">
        <v>400</v>
      </c>
    </row>
    <row r="111" spans="1:21" x14ac:dyDescent="0.25">
      <c r="A111" s="2" t="str">
        <f t="shared" si="3"/>
        <v>RES_2_5_1</v>
      </c>
      <c r="B111" s="20">
        <v>43418</v>
      </c>
      <c r="C111" s="2">
        <v>5</v>
      </c>
      <c r="D111" s="2" t="s">
        <v>4</v>
      </c>
      <c r="E111" s="2">
        <v>1</v>
      </c>
      <c r="F111" s="2">
        <v>2018</v>
      </c>
      <c r="G111" s="2">
        <v>3</v>
      </c>
      <c r="H111" s="2" t="s">
        <v>685</v>
      </c>
      <c r="I111" s="2" t="s">
        <v>9</v>
      </c>
      <c r="J111" s="2" t="s">
        <v>796</v>
      </c>
      <c r="K111" s="2"/>
      <c r="L111" s="2" t="s">
        <v>535</v>
      </c>
      <c r="M111" s="2" t="s">
        <v>536</v>
      </c>
      <c r="N111" s="2" t="s">
        <v>537</v>
      </c>
      <c r="O111" s="2">
        <v>32</v>
      </c>
      <c r="P111" s="2">
        <v>28</v>
      </c>
      <c r="Q111" s="2">
        <v>31</v>
      </c>
      <c r="R111" s="2" t="str">
        <f>CONCATENATE(A111,"_PI.fcs")</f>
        <v>RES_2_5_1_PI.fcs</v>
      </c>
      <c r="S111" s="2" t="s">
        <v>216</v>
      </c>
      <c r="T111" s="2" t="str">
        <f>CONCATENATE(A111,"_SG.fcs")</f>
        <v>RES_2_5_1_SG.fcs</v>
      </c>
      <c r="U111" s="2" t="s">
        <v>401</v>
      </c>
    </row>
    <row r="112" spans="1:21" x14ac:dyDescent="0.25">
      <c r="A112" s="2" t="str">
        <f t="shared" si="3"/>
        <v>RES_3_5_1</v>
      </c>
      <c r="B112" s="20">
        <v>43418</v>
      </c>
      <c r="C112" s="2">
        <v>5</v>
      </c>
      <c r="D112" s="2" t="s">
        <v>4</v>
      </c>
      <c r="E112" s="2">
        <v>1</v>
      </c>
      <c r="F112" s="2">
        <v>2018</v>
      </c>
      <c r="G112" s="2">
        <v>3</v>
      </c>
      <c r="H112" s="2" t="s">
        <v>686</v>
      </c>
      <c r="I112" s="2" t="s">
        <v>9</v>
      </c>
      <c r="J112" s="2" t="s">
        <v>796</v>
      </c>
      <c r="K112" s="2"/>
      <c r="L112" s="2" t="s">
        <v>567</v>
      </c>
      <c r="M112" s="2" t="s">
        <v>485</v>
      </c>
      <c r="N112" s="2" t="s">
        <v>533</v>
      </c>
      <c r="O112" s="2">
        <v>34</v>
      </c>
      <c r="P112" s="2">
        <v>34</v>
      </c>
      <c r="Q112" s="2">
        <v>34</v>
      </c>
      <c r="R112" s="2" t="str">
        <f>CONCATENATE(A112,"_PI.fcs")</f>
        <v>RES_3_5_1_PI.fcs</v>
      </c>
      <c r="S112" s="2" t="s">
        <v>217</v>
      </c>
      <c r="T112" s="2" t="str">
        <f>CONCATENATE(A112,"_SG.fcs")</f>
        <v>RES_3_5_1_SG.fcs</v>
      </c>
      <c r="U112" s="2" t="s">
        <v>402</v>
      </c>
    </row>
    <row r="113" spans="1:21" x14ac:dyDescent="0.25">
      <c r="A113" s="2" t="str">
        <f t="shared" si="3"/>
        <v>RES_4_5_1</v>
      </c>
      <c r="B113" s="20">
        <v>43418</v>
      </c>
      <c r="C113" s="2">
        <v>5</v>
      </c>
      <c r="D113" s="2" t="s">
        <v>4</v>
      </c>
      <c r="E113" s="2">
        <v>1</v>
      </c>
      <c r="F113" s="2">
        <v>2018</v>
      </c>
      <c r="G113" s="2">
        <v>3</v>
      </c>
      <c r="H113" s="2" t="s">
        <v>687</v>
      </c>
      <c r="I113" s="2" t="s">
        <v>9</v>
      </c>
      <c r="J113" s="2" t="s">
        <v>797</v>
      </c>
      <c r="K113" s="2"/>
      <c r="L113" s="2" t="s">
        <v>594</v>
      </c>
      <c r="M113" s="2" t="s">
        <v>546</v>
      </c>
      <c r="N113" s="2" t="s">
        <v>532</v>
      </c>
      <c r="O113" s="2">
        <v>31</v>
      </c>
      <c r="P113" s="2">
        <v>32</v>
      </c>
      <c r="Q113" s="2">
        <v>33</v>
      </c>
      <c r="R113" s="2" t="str">
        <f>CONCATENATE(A113,"_PI.fcs")</f>
        <v>RES_4_5_1_PI.fcs</v>
      </c>
      <c r="S113" s="2" t="s">
        <v>218</v>
      </c>
      <c r="T113" s="2" t="str">
        <f>CONCATENATE(A113,"_SG.fcs")</f>
        <v>RES_4_5_1_SG.fcs</v>
      </c>
      <c r="U113" s="2" t="s">
        <v>403</v>
      </c>
    </row>
    <row r="114" spans="1:21" x14ac:dyDescent="0.25">
      <c r="A114" s="2" t="str">
        <f t="shared" si="3"/>
        <v>RES_5_5_1</v>
      </c>
      <c r="B114" s="20">
        <v>43418</v>
      </c>
      <c r="C114" s="2">
        <v>5</v>
      </c>
      <c r="D114" s="2" t="s">
        <v>4</v>
      </c>
      <c r="E114" s="2">
        <v>1</v>
      </c>
      <c r="F114" s="2">
        <v>2018</v>
      </c>
      <c r="G114" s="2">
        <v>3</v>
      </c>
      <c r="H114" s="2" t="s">
        <v>688</v>
      </c>
      <c r="I114" s="2" t="s">
        <v>9</v>
      </c>
      <c r="J114" s="2" t="s">
        <v>798</v>
      </c>
      <c r="K114" s="2"/>
      <c r="L114" s="2" t="s">
        <v>530</v>
      </c>
      <c r="M114" s="2" t="s">
        <v>596</v>
      </c>
      <c r="N114" s="2" t="s">
        <v>598</v>
      </c>
      <c r="O114" s="2">
        <v>34</v>
      </c>
      <c r="P114" s="2">
        <v>34</v>
      </c>
      <c r="Q114" s="2">
        <v>34</v>
      </c>
      <c r="R114" s="2" t="str">
        <f>CONCATENATE(A114,"_PI.fcs")</f>
        <v>RES_5_5_1_PI.fcs</v>
      </c>
      <c r="S114" s="2" t="s">
        <v>219</v>
      </c>
      <c r="T114" s="2" t="str">
        <f>CONCATENATE(A114,"_SG.fcs")</f>
        <v>RES_5_5_1_SG.fcs</v>
      </c>
      <c r="U114" s="2" t="s">
        <v>404</v>
      </c>
    </row>
    <row r="115" spans="1:21" x14ac:dyDescent="0.25">
      <c r="A115" s="2" t="str">
        <f t="shared" si="3"/>
        <v>RES_6_5_1</v>
      </c>
      <c r="B115" s="20">
        <v>43418</v>
      </c>
      <c r="C115" s="2">
        <v>5</v>
      </c>
      <c r="D115" s="2" t="s">
        <v>4</v>
      </c>
      <c r="E115" s="2">
        <v>1</v>
      </c>
      <c r="F115" s="2">
        <v>2018</v>
      </c>
      <c r="G115" s="2">
        <v>3</v>
      </c>
      <c r="H115" s="2" t="s">
        <v>689</v>
      </c>
      <c r="I115" s="2" t="s">
        <v>9</v>
      </c>
      <c r="J115" s="2" t="s">
        <v>798</v>
      </c>
      <c r="K115" s="2" t="s">
        <v>76</v>
      </c>
      <c r="L115" s="2" t="s">
        <v>619</v>
      </c>
      <c r="M115" s="2" t="s">
        <v>620</v>
      </c>
      <c r="N115" s="2" t="s">
        <v>532</v>
      </c>
      <c r="O115" s="2">
        <v>34</v>
      </c>
      <c r="P115" s="2">
        <v>34</v>
      </c>
      <c r="Q115" s="2">
        <v>34</v>
      </c>
      <c r="R115" s="2" t="str">
        <f>CONCATENATE(A115,"_PI.fcs")</f>
        <v>RES_6_5_1_PI.fcs</v>
      </c>
      <c r="S115" s="2" t="s">
        <v>220</v>
      </c>
      <c r="T115" s="2" t="str">
        <f>CONCATENATE(A115,"_SG.fcs")</f>
        <v>RES_6_5_1_SG.fcs</v>
      </c>
      <c r="U115" s="2" t="s">
        <v>405</v>
      </c>
    </row>
    <row r="116" spans="1:21" x14ac:dyDescent="0.25">
      <c r="A116" s="2" t="str">
        <f t="shared" si="3"/>
        <v>COM_1_5_2</v>
      </c>
      <c r="B116" s="20">
        <v>43425</v>
      </c>
      <c r="C116" s="2">
        <v>5</v>
      </c>
      <c r="D116" s="2" t="s">
        <v>4</v>
      </c>
      <c r="E116" s="2">
        <v>2</v>
      </c>
      <c r="F116" s="2">
        <v>2018</v>
      </c>
      <c r="G116" s="2">
        <v>4</v>
      </c>
      <c r="H116" s="2" t="s">
        <v>690</v>
      </c>
      <c r="I116" s="2" t="s">
        <v>10</v>
      </c>
      <c r="J116" s="2" t="s">
        <v>796</v>
      </c>
      <c r="K116" s="2" t="s">
        <v>20</v>
      </c>
      <c r="L116" s="2" t="s">
        <v>493</v>
      </c>
      <c r="M116" s="2" t="s">
        <v>482</v>
      </c>
      <c r="N116" s="2" t="s">
        <v>651</v>
      </c>
      <c r="O116" s="2">
        <v>33</v>
      </c>
      <c r="P116" s="2">
        <v>30</v>
      </c>
      <c r="Q116" s="2">
        <v>23</v>
      </c>
      <c r="R116" s="2" t="str">
        <f>CONCATENATE(A116,"_PI.fcs")</f>
        <v>COM_1_5_2_PI.fcs</v>
      </c>
      <c r="S116" s="2" t="s">
        <v>221</v>
      </c>
      <c r="T116" s="2" t="str">
        <f>CONCATENATE(A116,"_SG.fcs")</f>
        <v>COM_1_5_2_SG.fcs</v>
      </c>
      <c r="U116" s="2" t="s">
        <v>406</v>
      </c>
    </row>
    <row r="117" spans="1:21" x14ac:dyDescent="0.25">
      <c r="A117" s="2" t="str">
        <f t="shared" si="3"/>
        <v>COM_2_5_2</v>
      </c>
      <c r="B117" s="20">
        <v>43425</v>
      </c>
      <c r="C117" s="2">
        <v>5</v>
      </c>
      <c r="D117" s="2" t="s">
        <v>4</v>
      </c>
      <c r="E117" s="2">
        <v>2</v>
      </c>
      <c r="F117" s="2">
        <v>2018</v>
      </c>
      <c r="G117" s="2">
        <v>4</v>
      </c>
      <c r="H117" s="2" t="s">
        <v>692</v>
      </c>
      <c r="I117" s="2" t="s">
        <v>10</v>
      </c>
      <c r="J117" s="2" t="s">
        <v>796</v>
      </c>
      <c r="K117" s="2"/>
      <c r="L117" s="2" t="s">
        <v>557</v>
      </c>
      <c r="M117" s="2" t="s">
        <v>576</v>
      </c>
      <c r="N117" s="2" t="s">
        <v>611</v>
      </c>
      <c r="O117" s="2">
        <v>33</v>
      </c>
      <c r="P117" s="2">
        <v>30</v>
      </c>
      <c r="Q117" s="2">
        <v>23</v>
      </c>
      <c r="R117" s="2" t="str">
        <f>CONCATENATE(A117,"_PI.fcs")</f>
        <v>COM_2_5_2_PI.fcs</v>
      </c>
      <c r="S117" s="2" t="s">
        <v>223</v>
      </c>
      <c r="T117" s="2" t="str">
        <f>CONCATENATE(A117,"_SG.fcs")</f>
        <v>COM_2_5_2_SG.fcs</v>
      </c>
      <c r="U117" s="2" t="s">
        <v>408</v>
      </c>
    </row>
    <row r="118" spans="1:21" x14ac:dyDescent="0.25">
      <c r="A118" s="2" t="str">
        <f t="shared" si="3"/>
        <v>HOUSE_1_5_2</v>
      </c>
      <c r="B118" s="20">
        <v>43425</v>
      </c>
      <c r="C118" s="2">
        <v>5</v>
      </c>
      <c r="D118" s="2" t="s">
        <v>4</v>
      </c>
      <c r="E118" s="2">
        <v>2</v>
      </c>
      <c r="F118" s="2">
        <v>2018</v>
      </c>
      <c r="G118" s="2">
        <v>4</v>
      </c>
      <c r="H118" s="2" t="s">
        <v>691</v>
      </c>
      <c r="I118" s="2" t="s">
        <v>11</v>
      </c>
      <c r="J118" s="2" t="s">
        <v>796</v>
      </c>
      <c r="K118" s="2" t="s">
        <v>55</v>
      </c>
      <c r="L118" s="2" t="s">
        <v>638</v>
      </c>
      <c r="M118" s="2" t="s">
        <v>485</v>
      </c>
      <c r="N118" s="2" t="s">
        <v>595</v>
      </c>
      <c r="O118" s="2">
        <v>33</v>
      </c>
      <c r="P118" s="2">
        <v>30</v>
      </c>
      <c r="Q118" s="2">
        <v>23</v>
      </c>
      <c r="R118" s="2" t="str">
        <f>CONCATENATE(A118,"_PI.fcs")</f>
        <v>HOUSE_1_5_2_PI.fcs</v>
      </c>
      <c r="S118" s="2" t="s">
        <v>222</v>
      </c>
      <c r="T118" s="2" t="str">
        <f>CONCATENATE(A118,"_SG.fcs")</f>
        <v>HOUSE_1_5_2_SG.fcs</v>
      </c>
      <c r="U118" s="2" t="s">
        <v>407</v>
      </c>
    </row>
    <row r="119" spans="1:21" x14ac:dyDescent="0.25">
      <c r="A119" s="2" t="str">
        <f t="shared" si="3"/>
        <v>HOUSE_2_5_2</v>
      </c>
      <c r="B119" s="20">
        <v>43425</v>
      </c>
      <c r="C119" s="2">
        <v>5</v>
      </c>
      <c r="D119" s="2" t="s">
        <v>4</v>
      </c>
      <c r="E119" s="2">
        <v>2</v>
      </c>
      <c r="F119" s="2">
        <v>2018</v>
      </c>
      <c r="G119" s="2">
        <v>4</v>
      </c>
      <c r="H119" s="2" t="s">
        <v>693</v>
      </c>
      <c r="I119" s="2" t="s">
        <v>11</v>
      </c>
      <c r="J119" s="2" t="s">
        <v>796</v>
      </c>
      <c r="K119" s="2" t="s">
        <v>86</v>
      </c>
      <c r="L119" s="2" t="s">
        <v>650</v>
      </c>
      <c r="M119" s="2" t="s">
        <v>508</v>
      </c>
      <c r="N119" s="2" t="s">
        <v>611</v>
      </c>
      <c r="O119" s="2">
        <v>33</v>
      </c>
      <c r="P119" s="2">
        <v>30</v>
      </c>
      <c r="Q119" s="2">
        <v>23</v>
      </c>
      <c r="R119" s="2" t="str">
        <f>CONCATENATE(A119,"_PI.fcs")</f>
        <v>HOUSE_2_5_2_PI.fcs</v>
      </c>
      <c r="S119" s="2" t="s">
        <v>224</v>
      </c>
      <c r="T119" s="2" t="str">
        <f>CONCATENATE(A119,"_SG.fcs")</f>
        <v>HOUSE_2_5_2_SG.fcs</v>
      </c>
      <c r="U119" s="2" t="s">
        <v>409</v>
      </c>
    </row>
    <row r="120" spans="1:21" x14ac:dyDescent="0.25">
      <c r="A120" s="2" t="str">
        <f t="shared" si="3"/>
        <v>HOUSE_3_5_2</v>
      </c>
      <c r="B120" s="20">
        <v>43425</v>
      </c>
      <c r="C120" s="2">
        <v>5</v>
      </c>
      <c r="D120" s="2" t="s">
        <v>4</v>
      </c>
      <c r="E120" s="2">
        <v>2</v>
      </c>
      <c r="F120" s="2">
        <v>2018</v>
      </c>
      <c r="G120" s="2">
        <v>4</v>
      </c>
      <c r="H120" s="2" t="s">
        <v>694</v>
      </c>
      <c r="I120" s="2" t="s">
        <v>11</v>
      </c>
      <c r="J120" s="2" t="s">
        <v>796</v>
      </c>
      <c r="K120" s="2"/>
      <c r="L120" s="2" t="s">
        <v>588</v>
      </c>
      <c r="M120" s="2" t="s">
        <v>494</v>
      </c>
      <c r="N120" s="2" t="s">
        <v>639</v>
      </c>
      <c r="O120" s="2">
        <v>33</v>
      </c>
      <c r="P120" s="2">
        <v>30</v>
      </c>
      <c r="Q120" s="2">
        <v>23</v>
      </c>
      <c r="R120" s="2" t="str">
        <f>CONCATENATE(A120,"_PI.fcs")</f>
        <v>HOUSE_3_5_2_PI.fcs</v>
      </c>
      <c r="S120" s="2" t="s">
        <v>225</v>
      </c>
      <c r="T120" s="2" t="str">
        <f>CONCATENATE(A120,"_SG.fcs")</f>
        <v>HOUSE_3_5_2_SG.fcs</v>
      </c>
      <c r="U120" s="2" t="s">
        <v>410</v>
      </c>
    </row>
    <row r="121" spans="1:21" x14ac:dyDescent="0.25">
      <c r="A121" s="2" t="str">
        <f t="shared" si="3"/>
        <v>HOUSE_4_5_2</v>
      </c>
      <c r="B121" s="20">
        <v>43425</v>
      </c>
      <c r="C121" s="2">
        <v>5</v>
      </c>
      <c r="D121" s="2" t="s">
        <v>4</v>
      </c>
      <c r="E121" s="2">
        <v>2</v>
      </c>
      <c r="F121" s="2">
        <v>2018</v>
      </c>
      <c r="G121" s="2">
        <v>4</v>
      </c>
      <c r="H121" s="2" t="s">
        <v>695</v>
      </c>
      <c r="I121" s="2" t="s">
        <v>11</v>
      </c>
      <c r="J121" s="2" t="s">
        <v>796</v>
      </c>
      <c r="K121" s="2"/>
      <c r="L121" s="2" t="s">
        <v>632</v>
      </c>
      <c r="M121" s="2" t="s">
        <v>483</v>
      </c>
      <c r="N121" s="2" t="s">
        <v>532</v>
      </c>
      <c r="O121" s="2">
        <v>33</v>
      </c>
      <c r="P121" s="2">
        <v>30</v>
      </c>
      <c r="Q121" s="2">
        <v>23</v>
      </c>
      <c r="R121" s="2" t="str">
        <f>CONCATENATE(A121,"_PI.fcs")</f>
        <v>HOUSE_4_5_2_PI.fcs</v>
      </c>
      <c r="S121" s="2" t="s">
        <v>226</v>
      </c>
      <c r="T121" s="2" t="str">
        <f>CONCATENATE(A121,"_SG.fcs")</f>
        <v>HOUSE_4_5_2_SG.fcs</v>
      </c>
      <c r="U121" s="2" t="s">
        <v>411</v>
      </c>
    </row>
    <row r="122" spans="1:21" x14ac:dyDescent="0.25">
      <c r="A122" s="2" t="str">
        <f t="shared" si="3"/>
        <v>RES_1_5_2</v>
      </c>
      <c r="B122" s="20">
        <v>43432</v>
      </c>
      <c r="C122" s="2">
        <v>5</v>
      </c>
      <c r="D122" s="2" t="s">
        <v>4</v>
      </c>
      <c r="E122" s="2">
        <v>2</v>
      </c>
      <c r="F122" s="2">
        <v>2018</v>
      </c>
      <c r="G122" s="2">
        <v>1</v>
      </c>
      <c r="H122" s="2" t="s">
        <v>684</v>
      </c>
      <c r="I122" s="2" t="s">
        <v>9</v>
      </c>
      <c r="J122" s="2" t="s">
        <v>796</v>
      </c>
      <c r="K122" s="2" t="s">
        <v>31</v>
      </c>
      <c r="L122" s="2" t="s">
        <v>505</v>
      </c>
      <c r="M122" s="2" t="s">
        <v>489</v>
      </c>
      <c r="N122" s="2" t="s">
        <v>507</v>
      </c>
      <c r="O122" s="2">
        <v>26</v>
      </c>
      <c r="P122" s="2">
        <v>23</v>
      </c>
      <c r="Q122" s="2">
        <v>30</v>
      </c>
      <c r="R122" s="2" t="str">
        <f>CONCATENATE(A122,"_PI.fcs")</f>
        <v>RES_1_5_2_PI.fcs</v>
      </c>
      <c r="S122" s="2" t="s">
        <v>227</v>
      </c>
      <c r="T122" s="2" t="str">
        <f>CONCATENATE(A122,"_SG.fcs")</f>
        <v>RES_1_5_2_SG.fcs</v>
      </c>
      <c r="U122" s="2" t="s">
        <v>412</v>
      </c>
    </row>
    <row r="123" spans="1:21" x14ac:dyDescent="0.25">
      <c r="A123" s="2" t="str">
        <f t="shared" si="3"/>
        <v>RES_2_5_2</v>
      </c>
      <c r="B123" s="20">
        <v>43432</v>
      </c>
      <c r="C123" s="2">
        <v>5</v>
      </c>
      <c r="D123" s="2" t="s">
        <v>4</v>
      </c>
      <c r="E123" s="2">
        <v>2</v>
      </c>
      <c r="F123" s="2">
        <v>2018</v>
      </c>
      <c r="G123" s="2">
        <v>1</v>
      </c>
      <c r="H123" s="2" t="s">
        <v>685</v>
      </c>
      <c r="I123" s="2" t="s">
        <v>9</v>
      </c>
      <c r="J123" s="2" t="s">
        <v>796</v>
      </c>
      <c r="K123" s="2" t="s">
        <v>41</v>
      </c>
      <c r="L123" s="2" t="s">
        <v>538</v>
      </c>
      <c r="M123" s="2" t="s">
        <v>539</v>
      </c>
      <c r="N123" s="2" t="s">
        <v>540</v>
      </c>
      <c r="O123" s="2">
        <v>26</v>
      </c>
      <c r="P123" s="2">
        <v>23</v>
      </c>
      <c r="Q123" s="2">
        <v>30</v>
      </c>
      <c r="R123" s="2" t="str">
        <f>CONCATENATE(A123,"_PI.fcs")</f>
        <v>RES_2_5_2_PI.fcs</v>
      </c>
      <c r="S123" s="2" t="s">
        <v>228</v>
      </c>
      <c r="T123" s="2" t="str">
        <f>CONCATENATE(A123,"_SG.fcs")</f>
        <v>RES_2_5_2_SG.fcs</v>
      </c>
      <c r="U123" s="2" t="s">
        <v>413</v>
      </c>
    </row>
    <row r="124" spans="1:21" x14ac:dyDescent="0.25">
      <c r="A124" s="2" t="str">
        <f t="shared" si="3"/>
        <v>RES_3_5_2</v>
      </c>
      <c r="B124" s="20">
        <v>43432</v>
      </c>
      <c r="C124" s="2">
        <v>5</v>
      </c>
      <c r="D124" s="2" t="s">
        <v>4</v>
      </c>
      <c r="E124" s="2">
        <v>2</v>
      </c>
      <c r="F124" s="2">
        <v>2018</v>
      </c>
      <c r="G124" s="2">
        <v>1</v>
      </c>
      <c r="H124" s="2" t="s">
        <v>686</v>
      </c>
      <c r="I124" s="2" t="s">
        <v>9</v>
      </c>
      <c r="J124" s="2" t="s">
        <v>796</v>
      </c>
      <c r="K124" s="2" t="s">
        <v>46</v>
      </c>
      <c r="L124" s="2" t="s">
        <v>569</v>
      </c>
      <c r="M124" s="2" t="s">
        <v>488</v>
      </c>
      <c r="N124" s="2" t="s">
        <v>570</v>
      </c>
      <c r="O124" s="2">
        <v>32</v>
      </c>
      <c r="P124" s="2">
        <v>28</v>
      </c>
      <c r="Q124" s="2">
        <v>35</v>
      </c>
      <c r="R124" s="2" t="str">
        <f>CONCATENATE(A124,"_PI.fcs")</f>
        <v>RES_3_5_2_PI.fcs</v>
      </c>
      <c r="S124" s="2" t="s">
        <v>229</v>
      </c>
      <c r="T124" s="2" t="str">
        <f>CONCATENATE(A124,"_SG.fcs")</f>
        <v>RES_3_5_2_SG.fcs</v>
      </c>
      <c r="U124" s="2" t="s">
        <v>414</v>
      </c>
    </row>
    <row r="125" spans="1:21" x14ac:dyDescent="0.25">
      <c r="A125" s="2" t="str">
        <f t="shared" si="3"/>
        <v>RES_4_5_2</v>
      </c>
      <c r="B125" s="20">
        <v>43432</v>
      </c>
      <c r="C125" s="2">
        <v>5</v>
      </c>
      <c r="D125" s="2" t="s">
        <v>4</v>
      </c>
      <c r="E125" s="2">
        <v>2</v>
      </c>
      <c r="F125" s="2">
        <v>2018</v>
      </c>
      <c r="G125" s="2">
        <v>1</v>
      </c>
      <c r="H125" s="2" t="s">
        <v>687</v>
      </c>
      <c r="I125" s="2" t="s">
        <v>9</v>
      </c>
      <c r="J125" s="2" t="s">
        <v>797</v>
      </c>
      <c r="K125" s="2"/>
      <c r="L125" s="2" t="s">
        <v>638</v>
      </c>
      <c r="M125" s="2" t="s">
        <v>607</v>
      </c>
      <c r="N125" s="2" t="s">
        <v>602</v>
      </c>
      <c r="O125" s="2">
        <v>26</v>
      </c>
      <c r="P125" s="2">
        <v>24</v>
      </c>
      <c r="Q125" s="2">
        <v>31</v>
      </c>
      <c r="R125" s="2" t="str">
        <f>CONCATENATE(A125,"_PI.fcs")</f>
        <v>RES_4_5_2_PI.fcs</v>
      </c>
      <c r="S125" s="2" t="s">
        <v>230</v>
      </c>
      <c r="T125" s="2" t="str">
        <f>CONCATENATE(A125,"_SG.fcs")</f>
        <v>RES_4_5_2_SG.fcs</v>
      </c>
      <c r="U125" s="2" t="s">
        <v>415</v>
      </c>
    </row>
    <row r="126" spans="1:21" x14ac:dyDescent="0.25">
      <c r="A126" s="2" t="str">
        <f t="shared" si="3"/>
        <v>RES_5_5_2</v>
      </c>
      <c r="B126" s="20">
        <v>43432</v>
      </c>
      <c r="C126" s="2">
        <v>5</v>
      </c>
      <c r="D126" s="2" t="s">
        <v>4</v>
      </c>
      <c r="E126" s="2">
        <v>2</v>
      </c>
      <c r="F126" s="2">
        <v>2018</v>
      </c>
      <c r="G126" s="2">
        <v>1</v>
      </c>
      <c r="H126" s="2" t="s">
        <v>688</v>
      </c>
      <c r="I126" s="2" t="s">
        <v>9</v>
      </c>
      <c r="J126" s="2" t="s">
        <v>798</v>
      </c>
      <c r="K126" s="2" t="s">
        <v>71</v>
      </c>
      <c r="L126" s="2" t="s">
        <v>599</v>
      </c>
      <c r="M126" s="2" t="s">
        <v>546</v>
      </c>
      <c r="N126" s="2" t="s">
        <v>537</v>
      </c>
      <c r="O126" s="2">
        <v>32</v>
      </c>
      <c r="P126" s="2">
        <v>28</v>
      </c>
      <c r="Q126" s="2">
        <v>35</v>
      </c>
      <c r="R126" s="2" t="str">
        <f>CONCATENATE(A126,"_PI.fcs")</f>
        <v>RES_5_5_2_PI.fcs</v>
      </c>
      <c r="S126" s="2" t="s">
        <v>231</v>
      </c>
      <c r="T126" s="2" t="str">
        <f>CONCATENATE(A126,"_SG.fcs")</f>
        <v>RES_5_5_2_SG.fcs</v>
      </c>
      <c r="U126" s="2" t="s">
        <v>416</v>
      </c>
    </row>
    <row r="127" spans="1:21" x14ac:dyDescent="0.25">
      <c r="A127" s="2" t="str">
        <f t="shared" si="3"/>
        <v>RES_6_5_2</v>
      </c>
      <c r="B127" s="20">
        <v>43432</v>
      </c>
      <c r="C127" s="2">
        <v>5</v>
      </c>
      <c r="D127" s="2" t="s">
        <v>4</v>
      </c>
      <c r="E127" s="2">
        <v>2</v>
      </c>
      <c r="F127" s="2">
        <v>2018</v>
      </c>
      <c r="G127" s="2">
        <v>1</v>
      </c>
      <c r="H127" s="2" t="s">
        <v>689</v>
      </c>
      <c r="I127" s="2" t="s">
        <v>9</v>
      </c>
      <c r="J127" s="2" t="s">
        <v>798</v>
      </c>
      <c r="K127" s="2"/>
      <c r="L127" s="2" t="s">
        <v>529</v>
      </c>
      <c r="M127" s="2" t="s">
        <v>556</v>
      </c>
      <c r="N127" s="2" t="s">
        <v>583</v>
      </c>
      <c r="O127" s="2">
        <v>32</v>
      </c>
      <c r="P127" s="2">
        <v>28</v>
      </c>
      <c r="Q127" s="2">
        <v>35</v>
      </c>
      <c r="R127" s="2" t="str">
        <f>CONCATENATE(A127,"_PI.fcs")</f>
        <v>RES_6_5_2_PI.fcs</v>
      </c>
      <c r="S127" s="2" t="s">
        <v>232</v>
      </c>
      <c r="T127" s="2" t="str">
        <f>CONCATENATE(A127,"_SG.fcs")</f>
        <v>RES_6_5_2_SG.fcs</v>
      </c>
      <c r="U127" s="2" t="s">
        <v>417</v>
      </c>
    </row>
    <row r="128" spans="1:21" x14ac:dyDescent="0.25">
      <c r="A128" s="2" t="str">
        <f t="shared" si="3"/>
        <v>COM_1_6_1</v>
      </c>
      <c r="B128" s="20">
        <v>43439</v>
      </c>
      <c r="C128" s="2">
        <v>6</v>
      </c>
      <c r="D128" s="2" t="s">
        <v>5</v>
      </c>
      <c r="E128" s="2">
        <v>1</v>
      </c>
      <c r="F128" s="2">
        <v>2018</v>
      </c>
      <c r="G128" s="2">
        <v>2</v>
      </c>
      <c r="H128" s="2" t="s">
        <v>690</v>
      </c>
      <c r="I128" s="2" t="s">
        <v>10</v>
      </c>
      <c r="J128" s="2" t="s">
        <v>796</v>
      </c>
      <c r="K128" s="2" t="s">
        <v>21</v>
      </c>
      <c r="L128" s="2" t="s">
        <v>522</v>
      </c>
      <c r="M128" s="2" t="s">
        <v>482</v>
      </c>
      <c r="N128" s="2" t="s">
        <v>570</v>
      </c>
      <c r="O128" s="2">
        <v>33</v>
      </c>
      <c r="P128" s="2">
        <v>32</v>
      </c>
      <c r="Q128" s="2">
        <v>34</v>
      </c>
      <c r="R128" s="2" t="str">
        <f>CONCATENATE(A128,"_PI.fcs")</f>
        <v>COM_1_6_1_PI.fcs</v>
      </c>
      <c r="S128" s="2" t="s">
        <v>233</v>
      </c>
      <c r="T128" s="2" t="str">
        <f>CONCATENATE(A128,"_SG.fcs")</f>
        <v>COM_1_6_1_SG.fcs</v>
      </c>
      <c r="U128" s="2" t="s">
        <v>418</v>
      </c>
    </row>
    <row r="129" spans="1:21" x14ac:dyDescent="0.25">
      <c r="A129" s="2" t="str">
        <f t="shared" si="3"/>
        <v>COM_2_6_1</v>
      </c>
      <c r="B129" s="20">
        <v>43439</v>
      </c>
      <c r="C129" s="2">
        <v>6</v>
      </c>
      <c r="D129" s="2" t="s">
        <v>5</v>
      </c>
      <c r="E129" s="2">
        <v>1</v>
      </c>
      <c r="F129" s="2">
        <v>2018</v>
      </c>
      <c r="G129" s="2">
        <v>2</v>
      </c>
      <c r="H129" s="2" t="s">
        <v>692</v>
      </c>
      <c r="I129" s="2" t="s">
        <v>10</v>
      </c>
      <c r="J129" s="2" t="s">
        <v>796</v>
      </c>
      <c r="K129" s="2"/>
      <c r="L129" s="2" t="s">
        <v>568</v>
      </c>
      <c r="M129" s="2" t="s">
        <v>508</v>
      </c>
      <c r="N129" s="2" t="s">
        <v>651</v>
      </c>
      <c r="O129" s="2">
        <v>33</v>
      </c>
      <c r="P129" s="2">
        <v>32</v>
      </c>
      <c r="Q129" s="2">
        <v>34</v>
      </c>
      <c r="R129" s="2" t="str">
        <f>CONCATENATE(A129,"_PI.fcs")</f>
        <v>COM_2_6_1_PI.fcs</v>
      </c>
      <c r="S129" s="2" t="s">
        <v>235</v>
      </c>
      <c r="T129" s="2" t="str">
        <f>CONCATENATE(A129,"_SG.fcs")</f>
        <v>COM_2_6_1_SG.fcs</v>
      </c>
      <c r="U129" s="2" t="s">
        <v>420</v>
      </c>
    </row>
    <row r="130" spans="1:21" x14ac:dyDescent="0.25">
      <c r="A130" s="2" t="str">
        <f t="shared" ref="A130:A161" si="4">CONCATENATE(H130,"_",C130,"_",E130)</f>
        <v>HOUSE_1_6_1</v>
      </c>
      <c r="B130" s="20">
        <v>43439</v>
      </c>
      <c r="C130" s="2">
        <v>6</v>
      </c>
      <c r="D130" s="2" t="s">
        <v>5</v>
      </c>
      <c r="E130" s="2">
        <v>1</v>
      </c>
      <c r="F130" s="2">
        <v>2018</v>
      </c>
      <c r="G130" s="2">
        <v>2</v>
      </c>
      <c r="H130" s="2" t="s">
        <v>691</v>
      </c>
      <c r="I130" s="2" t="s">
        <v>11</v>
      </c>
      <c r="J130" s="2" t="s">
        <v>796</v>
      </c>
      <c r="K130" s="2"/>
      <c r="L130" s="2" t="s">
        <v>556</v>
      </c>
      <c r="M130" s="2" t="s">
        <v>493</v>
      </c>
      <c r="N130" s="2" t="s">
        <v>668</v>
      </c>
      <c r="O130" s="2">
        <v>33</v>
      </c>
      <c r="P130" s="2">
        <v>32</v>
      </c>
      <c r="Q130" s="2">
        <v>34</v>
      </c>
      <c r="R130" s="2" t="str">
        <f>CONCATENATE(A130,"_PI.fcs")</f>
        <v>HOUSE_1_6_1_PI.fcs</v>
      </c>
      <c r="S130" s="2" t="s">
        <v>234</v>
      </c>
      <c r="T130" s="2" t="str">
        <f>CONCATENATE(A130,"_SG.fcs")</f>
        <v>HOUSE_1_6_1_SG.fcs</v>
      </c>
      <c r="U130" s="2" t="s">
        <v>419</v>
      </c>
    </row>
    <row r="131" spans="1:21" x14ac:dyDescent="0.25">
      <c r="A131" s="2" t="str">
        <f t="shared" si="4"/>
        <v>HOUSE_2_6_1</v>
      </c>
      <c r="B131" s="20">
        <v>43439</v>
      </c>
      <c r="C131" s="2">
        <v>6</v>
      </c>
      <c r="D131" s="2" t="s">
        <v>5</v>
      </c>
      <c r="E131" s="2">
        <v>1</v>
      </c>
      <c r="F131" s="2">
        <v>2018</v>
      </c>
      <c r="G131" s="2">
        <v>2</v>
      </c>
      <c r="H131" s="2" t="s">
        <v>693</v>
      </c>
      <c r="I131" s="2" t="s">
        <v>11</v>
      </c>
      <c r="J131" s="2" t="s">
        <v>796</v>
      </c>
      <c r="K131" s="2" t="s">
        <v>87</v>
      </c>
      <c r="L131" s="2" t="s">
        <v>531</v>
      </c>
      <c r="M131" s="2" t="s">
        <v>482</v>
      </c>
      <c r="N131" s="2" t="s">
        <v>659</v>
      </c>
      <c r="O131" s="2">
        <v>33</v>
      </c>
      <c r="P131" s="2">
        <v>32</v>
      </c>
      <c r="Q131" s="2">
        <v>34</v>
      </c>
      <c r="R131" s="2" t="str">
        <f>CONCATENATE(A131,"_PI.fcs")</f>
        <v>HOUSE_2_6_1_PI.fcs</v>
      </c>
      <c r="S131" s="2" t="s">
        <v>236</v>
      </c>
      <c r="T131" s="2" t="str">
        <f>CONCATENATE(A131,"_SG.fcs")</f>
        <v>HOUSE_2_6_1_SG.fcs</v>
      </c>
      <c r="U131" s="2" t="s">
        <v>421</v>
      </c>
    </row>
    <row r="132" spans="1:21" x14ac:dyDescent="0.25">
      <c r="A132" s="2" t="str">
        <f t="shared" si="4"/>
        <v>HOUSE_3_6_1</v>
      </c>
      <c r="B132" s="20">
        <v>43439</v>
      </c>
      <c r="C132" s="2">
        <v>6</v>
      </c>
      <c r="D132" s="2" t="s">
        <v>5</v>
      </c>
      <c r="E132" s="2">
        <v>1</v>
      </c>
      <c r="F132" s="2">
        <v>2018</v>
      </c>
      <c r="G132" s="2">
        <v>2</v>
      </c>
      <c r="H132" s="2" t="s">
        <v>694</v>
      </c>
      <c r="I132" s="2" t="s">
        <v>11</v>
      </c>
      <c r="J132" s="2" t="s">
        <v>796</v>
      </c>
      <c r="K132" s="2"/>
      <c r="L132" s="2" t="s">
        <v>630</v>
      </c>
      <c r="M132" s="2" t="s">
        <v>578</v>
      </c>
      <c r="N132" s="2" t="s">
        <v>581</v>
      </c>
      <c r="O132" s="2">
        <v>33</v>
      </c>
      <c r="P132" s="2">
        <v>32</v>
      </c>
      <c r="Q132" s="2">
        <v>34</v>
      </c>
      <c r="R132" s="2" t="str">
        <f>CONCATENATE(A132,"_PI.fcs")</f>
        <v>HOUSE_3_6_1_PI.fcs</v>
      </c>
      <c r="S132" s="2" t="s">
        <v>237</v>
      </c>
      <c r="T132" s="2" t="str">
        <f>CONCATENATE(A132,"_SG.fcs")</f>
        <v>HOUSE_3_6_1_SG.fcs</v>
      </c>
      <c r="U132" s="2" t="s">
        <v>422</v>
      </c>
    </row>
    <row r="133" spans="1:21" x14ac:dyDescent="0.25">
      <c r="A133" s="2" t="str">
        <f t="shared" si="4"/>
        <v>HOUSE_4_6_1</v>
      </c>
      <c r="B133" s="20">
        <v>43439</v>
      </c>
      <c r="C133" s="2">
        <v>6</v>
      </c>
      <c r="D133" s="2" t="s">
        <v>5</v>
      </c>
      <c r="E133" s="2">
        <v>1</v>
      </c>
      <c r="F133" s="2">
        <v>2018</v>
      </c>
      <c r="G133" s="2">
        <v>2</v>
      </c>
      <c r="H133" s="2" t="s">
        <v>695</v>
      </c>
      <c r="I133" s="2" t="s">
        <v>11</v>
      </c>
      <c r="J133" s="2" t="s">
        <v>796</v>
      </c>
      <c r="K133" s="2"/>
      <c r="L133" s="2" t="s">
        <v>512</v>
      </c>
      <c r="M133" s="2" t="s">
        <v>493</v>
      </c>
      <c r="N133" s="2" t="s">
        <v>510</v>
      </c>
      <c r="O133" s="2">
        <v>33</v>
      </c>
      <c r="P133" s="2">
        <v>32</v>
      </c>
      <c r="Q133" s="2">
        <v>34</v>
      </c>
      <c r="R133" s="2" t="str">
        <f>CONCATENATE(A133,"_PI.fcs")</f>
        <v>HOUSE_4_6_1_PI.fcs</v>
      </c>
      <c r="S133" s="2" t="s">
        <v>238</v>
      </c>
      <c r="T133" s="2" t="str">
        <f>CONCATENATE(A133,"_SG.fcs")</f>
        <v>HOUSE_4_6_1_SG.fcs</v>
      </c>
      <c r="U133" s="2" t="s">
        <v>423</v>
      </c>
    </row>
    <row r="134" spans="1:21" x14ac:dyDescent="0.25">
      <c r="A134" s="2" t="str">
        <f t="shared" si="4"/>
        <v>RES_1_6_1</v>
      </c>
      <c r="B134" s="20">
        <v>43446</v>
      </c>
      <c r="C134" s="2">
        <v>6</v>
      </c>
      <c r="D134" s="2" t="s">
        <v>5</v>
      </c>
      <c r="E134" s="2">
        <v>1</v>
      </c>
      <c r="F134" s="2">
        <v>2018</v>
      </c>
      <c r="G134" s="2">
        <v>3</v>
      </c>
      <c r="H134" s="2" t="s">
        <v>684</v>
      </c>
      <c r="I134" s="2" t="s">
        <v>9</v>
      </c>
      <c r="J134" s="2" t="s">
        <v>796</v>
      </c>
      <c r="K134" s="2" t="s">
        <v>32</v>
      </c>
      <c r="L134" s="2" t="s">
        <v>508</v>
      </c>
      <c r="M134" s="2" t="s">
        <v>489</v>
      </c>
      <c r="N134" s="2" t="s">
        <v>509</v>
      </c>
      <c r="O134" s="2">
        <v>24</v>
      </c>
      <c r="P134" s="2">
        <v>22</v>
      </c>
      <c r="Q134" s="2">
        <v>24</v>
      </c>
      <c r="R134" s="2" t="str">
        <f>CONCATENATE(A134,"_PI.fcs")</f>
        <v>RES_1_6_1_PI.fcs</v>
      </c>
      <c r="S134" s="2" t="s">
        <v>239</v>
      </c>
      <c r="T134" s="2" t="str">
        <f>CONCATENATE(A134,"_SG.fcs")</f>
        <v>RES_1_6_1_SG.fcs</v>
      </c>
      <c r="U134" s="2" t="s">
        <v>424</v>
      </c>
    </row>
    <row r="135" spans="1:21" x14ac:dyDescent="0.25">
      <c r="A135" s="2" t="str">
        <f t="shared" si="4"/>
        <v>RES_2_6_1</v>
      </c>
      <c r="B135" s="20">
        <v>43446</v>
      </c>
      <c r="C135" s="2">
        <v>6</v>
      </c>
      <c r="D135" s="2" t="s">
        <v>5</v>
      </c>
      <c r="E135" s="2">
        <v>1</v>
      </c>
      <c r="F135" s="2">
        <v>2018</v>
      </c>
      <c r="G135" s="2">
        <v>3</v>
      </c>
      <c r="H135" s="2" t="s">
        <v>685</v>
      </c>
      <c r="I135" s="2" t="s">
        <v>9</v>
      </c>
      <c r="J135" s="2" t="s">
        <v>796</v>
      </c>
      <c r="K135" s="2"/>
      <c r="L135" s="2" t="s">
        <v>485</v>
      </c>
      <c r="M135" s="2" t="s">
        <v>489</v>
      </c>
      <c r="N135" s="2" t="s">
        <v>541</v>
      </c>
      <c r="O135" s="2">
        <v>24</v>
      </c>
      <c r="P135" s="2">
        <v>22</v>
      </c>
      <c r="Q135" s="2">
        <v>24</v>
      </c>
      <c r="R135" s="2" t="str">
        <f>CONCATENATE(A135,"_PI.fcs")</f>
        <v>RES_2_6_1_PI.fcs</v>
      </c>
      <c r="S135" s="2" t="s">
        <v>240</v>
      </c>
      <c r="T135" s="2" t="str">
        <f>CONCATENATE(A135,"_SG.fcs")</f>
        <v>RES_2_6_1_SG.fcs</v>
      </c>
      <c r="U135" s="2" t="s">
        <v>425</v>
      </c>
    </row>
    <row r="136" spans="1:21" x14ac:dyDescent="0.25">
      <c r="A136" s="2" t="str">
        <f t="shared" si="4"/>
        <v>RES_3_6_1</v>
      </c>
      <c r="B136" s="20">
        <v>43446</v>
      </c>
      <c r="C136" s="2">
        <v>6</v>
      </c>
      <c r="D136" s="2" t="s">
        <v>5</v>
      </c>
      <c r="E136" s="2">
        <v>1</v>
      </c>
      <c r="F136" s="2">
        <v>2018</v>
      </c>
      <c r="G136" s="2">
        <v>3</v>
      </c>
      <c r="H136" s="2" t="s">
        <v>686</v>
      </c>
      <c r="I136" s="2" t="s">
        <v>9</v>
      </c>
      <c r="J136" s="2" t="s">
        <v>796</v>
      </c>
      <c r="K136" s="2" t="s">
        <v>47</v>
      </c>
      <c r="L136" s="2" t="s">
        <v>571</v>
      </c>
      <c r="M136" s="2" t="s">
        <v>496</v>
      </c>
      <c r="N136" s="2" t="s">
        <v>572</v>
      </c>
      <c r="O136" s="2">
        <v>28</v>
      </c>
      <c r="P136" s="2">
        <v>27</v>
      </c>
      <c r="Q136" s="2">
        <v>28</v>
      </c>
      <c r="R136" s="2" t="str">
        <f>CONCATENATE(A136,"_PI.fcs")</f>
        <v>RES_3_6_1_PI.fcs</v>
      </c>
      <c r="S136" s="2" t="s">
        <v>241</v>
      </c>
      <c r="T136" s="2" t="str">
        <f>CONCATENATE(A136,"_SG.fcs")</f>
        <v>RES_3_6_1_SG.fcs</v>
      </c>
      <c r="U136" s="2" t="s">
        <v>426</v>
      </c>
    </row>
    <row r="137" spans="1:21" x14ac:dyDescent="0.25">
      <c r="A137" s="2" t="str">
        <f t="shared" si="4"/>
        <v>RES_4_6_1</v>
      </c>
      <c r="B137" s="20">
        <v>43446</v>
      </c>
      <c r="C137" s="2">
        <v>6</v>
      </c>
      <c r="D137" s="2" t="s">
        <v>5</v>
      </c>
      <c r="E137" s="2">
        <v>1</v>
      </c>
      <c r="F137" s="2">
        <v>2018</v>
      </c>
      <c r="G137" s="2">
        <v>3</v>
      </c>
      <c r="H137" s="2" t="s">
        <v>687</v>
      </c>
      <c r="I137" s="2" t="s">
        <v>9</v>
      </c>
      <c r="J137" s="2" t="s">
        <v>797</v>
      </c>
      <c r="K137" s="2"/>
      <c r="L137" s="2" t="s">
        <v>624</v>
      </c>
      <c r="M137" s="2" t="s">
        <v>635</v>
      </c>
      <c r="N137" s="2" t="s">
        <v>639</v>
      </c>
      <c r="O137" s="2">
        <v>27</v>
      </c>
      <c r="P137" s="2">
        <v>23</v>
      </c>
      <c r="Q137" s="2">
        <v>26</v>
      </c>
      <c r="R137" s="2" t="str">
        <f>CONCATENATE(A137,"_PI.fcs")</f>
        <v>RES_4_6_1_PI.fcs</v>
      </c>
      <c r="S137" s="2" t="s">
        <v>242</v>
      </c>
      <c r="T137" s="2" t="str">
        <f>CONCATENATE(A137,"_SG.fcs")</f>
        <v>RES_4_6_1_SG.fcs</v>
      </c>
      <c r="U137" s="2" t="s">
        <v>427</v>
      </c>
    </row>
    <row r="138" spans="1:21" x14ac:dyDescent="0.25">
      <c r="A138" s="2" t="str">
        <f t="shared" si="4"/>
        <v>RES_5_6_1</v>
      </c>
      <c r="B138" s="20">
        <v>43446</v>
      </c>
      <c r="C138" s="2">
        <v>6</v>
      </c>
      <c r="D138" s="2" t="s">
        <v>5</v>
      </c>
      <c r="E138" s="2">
        <v>1</v>
      </c>
      <c r="F138" s="2">
        <v>2018</v>
      </c>
      <c r="G138" s="2">
        <v>3</v>
      </c>
      <c r="H138" s="2" t="s">
        <v>688</v>
      </c>
      <c r="I138" s="2" t="s">
        <v>9</v>
      </c>
      <c r="J138" s="2" t="s">
        <v>798</v>
      </c>
      <c r="K138" s="2" t="s">
        <v>72</v>
      </c>
      <c r="L138" s="2" t="s">
        <v>600</v>
      </c>
      <c r="M138" s="2" t="s">
        <v>483</v>
      </c>
      <c r="N138" s="2" t="s">
        <v>602</v>
      </c>
      <c r="O138" s="2">
        <v>28</v>
      </c>
      <c r="P138" s="2">
        <v>27</v>
      </c>
      <c r="Q138" s="2">
        <v>28</v>
      </c>
      <c r="R138" s="2" t="str">
        <f>CONCATENATE(A138,"_PI.fcs")</f>
        <v>RES_5_6_1_PI.fcs</v>
      </c>
      <c r="S138" s="2" t="s">
        <v>243</v>
      </c>
      <c r="T138" s="2" t="str">
        <f>CONCATENATE(A138,"_SG.fcs")</f>
        <v>RES_5_6_1_SG.fcs</v>
      </c>
      <c r="U138" s="2" t="s">
        <v>428</v>
      </c>
    </row>
    <row r="139" spans="1:21" x14ac:dyDescent="0.25">
      <c r="A139" s="2" t="str">
        <f t="shared" si="4"/>
        <v>RES_6_6_1</v>
      </c>
      <c r="B139" s="20">
        <v>43446</v>
      </c>
      <c r="C139" s="2">
        <v>6</v>
      </c>
      <c r="D139" s="2" t="s">
        <v>5</v>
      </c>
      <c r="E139" s="2">
        <v>1</v>
      </c>
      <c r="F139" s="2">
        <v>2018</v>
      </c>
      <c r="G139" s="2">
        <v>3</v>
      </c>
      <c r="H139" s="2" t="s">
        <v>689</v>
      </c>
      <c r="I139" s="2" t="s">
        <v>9</v>
      </c>
      <c r="J139" s="2" t="s">
        <v>798</v>
      </c>
      <c r="K139" s="2" t="s">
        <v>77</v>
      </c>
      <c r="L139" s="2" t="s">
        <v>621</v>
      </c>
      <c r="M139" s="2" t="s">
        <v>622</v>
      </c>
      <c r="N139" s="2" t="s">
        <v>623</v>
      </c>
      <c r="O139" s="2">
        <v>28</v>
      </c>
      <c r="P139" s="2">
        <v>27</v>
      </c>
      <c r="Q139" s="2">
        <v>28</v>
      </c>
      <c r="R139" s="2" t="str">
        <f>CONCATENATE(A139,"_PI.fcs")</f>
        <v>RES_6_6_1_PI.fcs</v>
      </c>
      <c r="S139" s="2" t="s">
        <v>244</v>
      </c>
      <c r="T139" s="2" t="str">
        <f>CONCATENATE(A139,"_SG.fcs")</f>
        <v>RES_6_6_1_SG.fcs</v>
      </c>
      <c r="U139" s="2" t="s">
        <v>429</v>
      </c>
    </row>
    <row r="140" spans="1:21" x14ac:dyDescent="0.25">
      <c r="A140" s="2" t="str">
        <f t="shared" si="4"/>
        <v>COM_1_7_1</v>
      </c>
      <c r="B140" s="20">
        <v>43481</v>
      </c>
      <c r="C140" s="2">
        <v>7</v>
      </c>
      <c r="D140" s="2" t="s">
        <v>6</v>
      </c>
      <c r="E140" s="2">
        <v>1</v>
      </c>
      <c r="F140" s="2">
        <v>2019</v>
      </c>
      <c r="G140" s="2">
        <v>4</v>
      </c>
      <c r="H140" s="2" t="s">
        <v>690</v>
      </c>
      <c r="I140" s="2" t="s">
        <v>10</v>
      </c>
      <c r="J140" s="2" t="s">
        <v>796</v>
      </c>
      <c r="K140" s="2" t="s">
        <v>22</v>
      </c>
      <c r="L140" s="2" t="s">
        <v>483</v>
      </c>
      <c r="M140" s="2" t="s">
        <v>482</v>
      </c>
      <c r="N140" s="2" t="s">
        <v>533</v>
      </c>
      <c r="O140" s="2">
        <v>33</v>
      </c>
      <c r="P140" s="2">
        <v>31</v>
      </c>
      <c r="Q140" s="2">
        <v>32</v>
      </c>
      <c r="R140" s="2" t="str">
        <f>CONCATENATE(A140,"_PI.fcs")</f>
        <v>COM_1_7_1_PI.fcs</v>
      </c>
      <c r="S140" s="2" t="s">
        <v>245</v>
      </c>
      <c r="T140" s="2" t="str">
        <f>CONCATENATE(A140,"_SG.fcs")</f>
        <v>COM_1_7_1_SG.fcs</v>
      </c>
      <c r="U140" s="2" t="s">
        <v>430</v>
      </c>
    </row>
    <row r="141" spans="1:21" x14ac:dyDescent="0.25">
      <c r="A141" s="2" t="str">
        <f t="shared" si="4"/>
        <v>COM_2_7_1</v>
      </c>
      <c r="B141" s="20">
        <v>43481</v>
      </c>
      <c r="C141" s="2">
        <v>7</v>
      </c>
      <c r="D141" s="2" t="s">
        <v>6</v>
      </c>
      <c r="E141" s="2">
        <v>1</v>
      </c>
      <c r="F141" s="2">
        <v>2019</v>
      </c>
      <c r="G141" s="2">
        <v>4</v>
      </c>
      <c r="H141" s="2" t="s">
        <v>692</v>
      </c>
      <c r="I141" s="2" t="s">
        <v>10</v>
      </c>
      <c r="J141" s="2" t="s">
        <v>796</v>
      </c>
      <c r="K141" s="2" t="s">
        <v>66</v>
      </c>
      <c r="L141" s="2" t="s">
        <v>578</v>
      </c>
      <c r="M141" s="2" t="s">
        <v>482</v>
      </c>
      <c r="N141" s="2" t="s">
        <v>652</v>
      </c>
      <c r="O141" s="2">
        <v>33</v>
      </c>
      <c r="P141" s="2">
        <v>31</v>
      </c>
      <c r="Q141" s="2">
        <v>32</v>
      </c>
      <c r="R141" s="2" t="str">
        <f>CONCATENATE(A141,"_PI.fcs")</f>
        <v>COM_2_7_1_PI.fcs</v>
      </c>
      <c r="S141" s="2" t="s">
        <v>247</v>
      </c>
      <c r="T141" s="2" t="str">
        <f>CONCATENATE(A141,"_SG.fcs")</f>
        <v>COM_2_7_1_SG.fcs</v>
      </c>
      <c r="U141" s="2" t="s">
        <v>432</v>
      </c>
    </row>
    <row r="142" spans="1:21" x14ac:dyDescent="0.25">
      <c r="A142" s="2" t="str">
        <f t="shared" si="4"/>
        <v>HOUSE_1_7_1</v>
      </c>
      <c r="B142" s="20">
        <v>43481</v>
      </c>
      <c r="C142" s="2">
        <v>7</v>
      </c>
      <c r="D142" s="2" t="s">
        <v>6</v>
      </c>
      <c r="E142" s="2">
        <v>1</v>
      </c>
      <c r="F142" s="2">
        <v>2019</v>
      </c>
      <c r="G142" s="2">
        <v>4</v>
      </c>
      <c r="H142" s="2" t="s">
        <v>691</v>
      </c>
      <c r="I142" s="2" t="s">
        <v>11</v>
      </c>
      <c r="J142" s="2" t="s">
        <v>796</v>
      </c>
      <c r="K142" s="2" t="s">
        <v>56</v>
      </c>
      <c r="L142" s="2" t="s">
        <v>512</v>
      </c>
      <c r="M142" s="2" t="s">
        <v>493</v>
      </c>
      <c r="N142" s="2" t="s">
        <v>649</v>
      </c>
      <c r="O142" s="2">
        <v>33</v>
      </c>
      <c r="P142" s="2">
        <v>31</v>
      </c>
      <c r="Q142" s="2">
        <v>32</v>
      </c>
      <c r="R142" s="2" t="str">
        <f>CONCATENATE(A142,"_PI.fcs")</f>
        <v>HOUSE_1_7_1_PI.fcs</v>
      </c>
      <c r="S142" s="2" t="s">
        <v>246</v>
      </c>
      <c r="T142" s="2" t="str">
        <f>CONCATENATE(A142,"_SG.fcs")</f>
        <v>HOUSE_1_7_1_SG.fcs</v>
      </c>
      <c r="U142" s="2" t="s">
        <v>431</v>
      </c>
    </row>
    <row r="143" spans="1:21" x14ac:dyDescent="0.25">
      <c r="A143" s="2" t="str">
        <f t="shared" si="4"/>
        <v>HOUSE_2_7_1</v>
      </c>
      <c r="B143" s="20">
        <v>43481</v>
      </c>
      <c r="C143" s="2">
        <v>7</v>
      </c>
      <c r="D143" s="2" t="s">
        <v>6</v>
      </c>
      <c r="E143" s="2">
        <v>1</v>
      </c>
      <c r="F143" s="2">
        <v>2019</v>
      </c>
      <c r="G143" s="2">
        <v>4</v>
      </c>
      <c r="H143" s="2" t="s">
        <v>693</v>
      </c>
      <c r="I143" s="2" t="s">
        <v>11</v>
      </c>
      <c r="J143" s="2" t="s">
        <v>796</v>
      </c>
      <c r="K143" s="2" t="s">
        <v>88</v>
      </c>
      <c r="L143" s="2" t="s">
        <v>485</v>
      </c>
      <c r="M143" s="2" t="s">
        <v>489</v>
      </c>
      <c r="N143" s="2" t="s">
        <v>669</v>
      </c>
      <c r="O143" s="2">
        <v>33</v>
      </c>
      <c r="P143" s="2">
        <v>31</v>
      </c>
      <c r="Q143" s="2">
        <v>32</v>
      </c>
      <c r="R143" s="2" t="str">
        <f>CONCATENATE(A143,"_PI.fcs")</f>
        <v>HOUSE_2_7_1_PI.fcs</v>
      </c>
      <c r="S143" s="2" t="s">
        <v>248</v>
      </c>
      <c r="T143" s="2" t="str">
        <f>CONCATENATE(A143,"_SG.fcs")</f>
        <v>HOUSE_2_7_1_SG.fcs</v>
      </c>
      <c r="U143" s="2" t="s">
        <v>433</v>
      </c>
    </row>
    <row r="144" spans="1:21" x14ac:dyDescent="0.25">
      <c r="A144" s="2" t="str">
        <f t="shared" si="4"/>
        <v>HOUSE_3_7_1</v>
      </c>
      <c r="B144" s="20">
        <v>43481</v>
      </c>
      <c r="C144" s="2">
        <v>7</v>
      </c>
      <c r="D144" s="2" t="s">
        <v>6</v>
      </c>
      <c r="E144" s="2">
        <v>1</v>
      </c>
      <c r="F144" s="2">
        <v>2019</v>
      </c>
      <c r="G144" s="2">
        <v>4</v>
      </c>
      <c r="H144" s="2" t="s">
        <v>694</v>
      </c>
      <c r="I144" s="2" t="s">
        <v>11</v>
      </c>
      <c r="J144" s="2" t="s">
        <v>796</v>
      </c>
      <c r="K144" s="2"/>
      <c r="L144" s="2" t="s">
        <v>621</v>
      </c>
      <c r="M144" s="2" t="s">
        <v>481</v>
      </c>
      <c r="N144" s="2" t="s">
        <v>659</v>
      </c>
      <c r="O144" s="2">
        <v>33</v>
      </c>
      <c r="P144" s="2">
        <v>31</v>
      </c>
      <c r="Q144" s="2">
        <v>32</v>
      </c>
      <c r="R144" s="2" t="str">
        <f>CONCATENATE(A144,"_PI.fcs")</f>
        <v>HOUSE_3_7_1_PI.fcs</v>
      </c>
      <c r="S144" s="2" t="s">
        <v>249</v>
      </c>
      <c r="T144" s="2" t="str">
        <f>CONCATENATE(A144,"_SG.fcs")</f>
        <v>HOUSE_3_7_1_SG.fcs</v>
      </c>
      <c r="U144" s="2" t="s">
        <v>434</v>
      </c>
    </row>
    <row r="145" spans="1:21" x14ac:dyDescent="0.25">
      <c r="A145" s="2" t="str">
        <f t="shared" si="4"/>
        <v>HOUSE_4_7_1</v>
      </c>
      <c r="B145" s="20">
        <v>43481</v>
      </c>
      <c r="C145" s="2">
        <v>7</v>
      </c>
      <c r="D145" s="2" t="s">
        <v>6</v>
      </c>
      <c r="E145" s="2">
        <v>1</v>
      </c>
      <c r="F145" s="2">
        <v>2019</v>
      </c>
      <c r="G145" s="2">
        <v>4</v>
      </c>
      <c r="H145" s="2" t="s">
        <v>695</v>
      </c>
      <c r="I145" s="2" t="s">
        <v>11</v>
      </c>
      <c r="J145" s="2" t="s">
        <v>796</v>
      </c>
      <c r="K145" s="2" t="s">
        <v>102</v>
      </c>
      <c r="L145" s="2" t="s">
        <v>512</v>
      </c>
      <c r="M145" s="2" t="s">
        <v>493</v>
      </c>
      <c r="N145" s="2" t="s">
        <v>615</v>
      </c>
      <c r="O145" s="2">
        <v>33</v>
      </c>
      <c r="P145" s="2">
        <v>31</v>
      </c>
      <c r="Q145" s="2">
        <v>32</v>
      </c>
      <c r="R145" s="2" t="str">
        <f>CONCATENATE(A145,"_PI.fcs")</f>
        <v>HOUSE_4_7_1_PI.fcs</v>
      </c>
      <c r="S145" s="2" t="s">
        <v>250</v>
      </c>
      <c r="T145" s="2" t="str">
        <f>CONCATENATE(A145,"_SG.fcs")</f>
        <v>HOUSE_4_7_1_SG.fcs</v>
      </c>
      <c r="U145" s="2" t="s">
        <v>435</v>
      </c>
    </row>
    <row r="146" spans="1:21" x14ac:dyDescent="0.25">
      <c r="A146" s="2" t="str">
        <f t="shared" si="4"/>
        <v>RES_1_7_1</v>
      </c>
      <c r="B146" s="20">
        <v>43488</v>
      </c>
      <c r="C146" s="2">
        <v>7</v>
      </c>
      <c r="D146" s="2" t="s">
        <v>6</v>
      </c>
      <c r="E146" s="2">
        <v>1</v>
      </c>
      <c r="F146" s="2">
        <v>2019</v>
      </c>
      <c r="G146" s="2">
        <v>1</v>
      </c>
      <c r="H146" s="2" t="s">
        <v>684</v>
      </c>
      <c r="I146" s="2" t="s">
        <v>9</v>
      </c>
      <c r="J146" s="2" t="s">
        <v>796</v>
      </c>
      <c r="K146" s="2" t="s">
        <v>33</v>
      </c>
      <c r="L146" s="2" t="s">
        <v>496</v>
      </c>
      <c r="M146" s="2" t="s">
        <v>493</v>
      </c>
      <c r="N146" s="2" t="s">
        <v>510</v>
      </c>
      <c r="O146" s="2">
        <v>22</v>
      </c>
      <c r="P146" s="2">
        <v>27</v>
      </c>
      <c r="Q146" s="2">
        <v>30</v>
      </c>
      <c r="R146" s="2" t="str">
        <f>CONCATENATE(A146,"_PI.fcs")</f>
        <v>RES_1_7_1_PI.fcs</v>
      </c>
      <c r="S146" s="2" t="s">
        <v>251</v>
      </c>
      <c r="T146" s="2" t="str">
        <f>CONCATENATE(A146,"_SG.fcs")</f>
        <v>RES_1_7_1_SG.fcs</v>
      </c>
      <c r="U146" s="2" t="s">
        <v>436</v>
      </c>
    </row>
    <row r="147" spans="1:21" x14ac:dyDescent="0.25">
      <c r="A147" s="2" t="str">
        <f t="shared" si="4"/>
        <v>RES_2_7_1</v>
      </c>
      <c r="B147" s="20">
        <v>43488</v>
      </c>
      <c r="C147" s="2">
        <v>7</v>
      </c>
      <c r="D147" s="2" t="s">
        <v>6</v>
      </c>
      <c r="E147" s="2">
        <v>1</v>
      </c>
      <c r="F147" s="2">
        <v>2019</v>
      </c>
      <c r="G147" s="2">
        <v>1</v>
      </c>
      <c r="H147" s="2" t="s">
        <v>685</v>
      </c>
      <c r="I147" s="2" t="s">
        <v>9</v>
      </c>
      <c r="J147" s="2" t="s">
        <v>796</v>
      </c>
      <c r="K147" s="2" t="s">
        <v>42</v>
      </c>
      <c r="L147" s="2" t="s">
        <v>542</v>
      </c>
      <c r="M147" s="2" t="s">
        <v>493</v>
      </c>
      <c r="N147" s="2" t="s">
        <v>543</v>
      </c>
      <c r="O147" s="2">
        <v>22</v>
      </c>
      <c r="P147" s="2">
        <v>27</v>
      </c>
      <c r="Q147" s="2">
        <v>30</v>
      </c>
      <c r="R147" s="2" t="str">
        <f>CONCATENATE(A147,"_PI.fcs")</f>
        <v>RES_2_7_1_PI.fcs</v>
      </c>
      <c r="S147" s="2" t="s">
        <v>252</v>
      </c>
      <c r="T147" s="2" t="str">
        <f>CONCATENATE(A147,"_SG.fcs")</f>
        <v>RES_2_7_1_SG.fcs</v>
      </c>
      <c r="U147" s="2" t="s">
        <v>437</v>
      </c>
    </row>
    <row r="148" spans="1:21" x14ac:dyDescent="0.25">
      <c r="A148" s="2" t="str">
        <f t="shared" si="4"/>
        <v>RES_3_7_1</v>
      </c>
      <c r="B148" s="20">
        <v>43488</v>
      </c>
      <c r="C148" s="2">
        <v>7</v>
      </c>
      <c r="D148" s="2" t="s">
        <v>6</v>
      </c>
      <c r="E148" s="2">
        <v>1</v>
      </c>
      <c r="F148" s="2">
        <v>2019</v>
      </c>
      <c r="G148" s="2">
        <v>1</v>
      </c>
      <c r="H148" s="2" t="s">
        <v>686</v>
      </c>
      <c r="I148" s="2" t="s">
        <v>9</v>
      </c>
      <c r="J148" s="2" t="s">
        <v>796</v>
      </c>
      <c r="K148" s="2" t="s">
        <v>48</v>
      </c>
      <c r="L148" s="2" t="s">
        <v>546</v>
      </c>
      <c r="M148" s="2" t="s">
        <v>508</v>
      </c>
      <c r="N148" s="2" t="s">
        <v>573</v>
      </c>
      <c r="O148" s="2">
        <v>18</v>
      </c>
      <c r="P148" s="2">
        <v>30</v>
      </c>
      <c r="Q148" s="2">
        <v>43</v>
      </c>
      <c r="R148" s="2" t="str">
        <f>CONCATENATE(A148,"_PI.fcs")</f>
        <v>RES_3_7_1_PI.fcs</v>
      </c>
      <c r="S148" s="2" t="s">
        <v>253</v>
      </c>
      <c r="T148" s="2" t="str">
        <f>CONCATENATE(A148,"_SG.fcs")</f>
        <v>RES_3_7_1_SG.fcs</v>
      </c>
      <c r="U148" s="2" t="s">
        <v>438</v>
      </c>
    </row>
    <row r="149" spans="1:21" x14ac:dyDescent="0.25">
      <c r="A149" s="2" t="str">
        <f t="shared" si="4"/>
        <v>RES_4_7_1</v>
      </c>
      <c r="B149" s="20">
        <v>43488</v>
      </c>
      <c r="C149" s="2">
        <v>7</v>
      </c>
      <c r="D149" s="2" t="s">
        <v>6</v>
      </c>
      <c r="E149" s="2">
        <v>1</v>
      </c>
      <c r="F149" s="2">
        <v>2019</v>
      </c>
      <c r="G149" s="2">
        <v>1</v>
      </c>
      <c r="H149" s="2" t="s">
        <v>687</v>
      </c>
      <c r="I149" s="2" t="s">
        <v>9</v>
      </c>
      <c r="J149" s="2" t="s">
        <v>797</v>
      </c>
      <c r="K149" s="2"/>
      <c r="L149" s="2" t="s">
        <v>580</v>
      </c>
      <c r="M149" s="2" t="s">
        <v>512</v>
      </c>
      <c r="N149" s="2" t="s">
        <v>640</v>
      </c>
      <c r="O149" s="2">
        <v>25</v>
      </c>
      <c r="P149" s="2">
        <v>29</v>
      </c>
      <c r="Q149" s="2">
        <v>31</v>
      </c>
      <c r="R149" s="2" t="str">
        <f>CONCATENATE(A149,"_PI.fcs")</f>
        <v>RES_4_7_1_PI.fcs</v>
      </c>
      <c r="S149" s="2" t="s">
        <v>254</v>
      </c>
      <c r="T149" s="2" t="str">
        <f>CONCATENATE(A149,"_SG.fcs")</f>
        <v>RES_4_7_1_SG.fcs</v>
      </c>
      <c r="U149" s="2" t="s">
        <v>439</v>
      </c>
    </row>
    <row r="150" spans="1:21" x14ac:dyDescent="0.25">
      <c r="A150" s="2" t="str">
        <f t="shared" si="4"/>
        <v>RES_5_7_1</v>
      </c>
      <c r="B150" s="20">
        <v>43488</v>
      </c>
      <c r="C150" s="2">
        <v>7</v>
      </c>
      <c r="D150" s="2" t="s">
        <v>6</v>
      </c>
      <c r="E150" s="2">
        <v>1</v>
      </c>
      <c r="F150" s="2">
        <v>2019</v>
      </c>
      <c r="G150" s="2">
        <v>1</v>
      </c>
      <c r="H150" s="2" t="s">
        <v>688</v>
      </c>
      <c r="I150" s="2" t="s">
        <v>9</v>
      </c>
      <c r="J150" s="2" t="s">
        <v>798</v>
      </c>
      <c r="K150" s="2"/>
      <c r="L150" s="2" t="s">
        <v>603</v>
      </c>
      <c r="M150" s="2" t="s">
        <v>488</v>
      </c>
      <c r="N150" s="2" t="s">
        <v>604</v>
      </c>
      <c r="O150" s="2">
        <v>18</v>
      </c>
      <c r="P150" s="2">
        <v>30</v>
      </c>
      <c r="Q150" s="2">
        <v>43</v>
      </c>
      <c r="R150" s="2" t="str">
        <f>CONCATENATE(A150,"_PI.fcs")</f>
        <v>RES_5_7_1_PI.fcs</v>
      </c>
      <c r="S150" s="2" t="s">
        <v>255</v>
      </c>
      <c r="T150" s="2" t="str">
        <f>CONCATENATE(A150,"_SG.fcs")</f>
        <v>RES_5_7_1_SG.fcs</v>
      </c>
      <c r="U150" s="2" t="s">
        <v>440</v>
      </c>
    </row>
    <row r="151" spans="1:21" x14ac:dyDescent="0.25">
      <c r="A151" s="2" t="str">
        <f t="shared" si="4"/>
        <v>RES_6_7_1</v>
      </c>
      <c r="B151" s="20">
        <v>43488</v>
      </c>
      <c r="C151" s="2">
        <v>7</v>
      </c>
      <c r="D151" s="2" t="s">
        <v>6</v>
      </c>
      <c r="E151" s="2">
        <v>1</v>
      </c>
      <c r="F151" s="2">
        <v>2019</v>
      </c>
      <c r="G151" s="2">
        <v>1</v>
      </c>
      <c r="H151" s="2" t="s">
        <v>689</v>
      </c>
      <c r="I151" s="2" t="s">
        <v>9</v>
      </c>
      <c r="J151" s="2" t="s">
        <v>798</v>
      </c>
      <c r="K151" s="2"/>
      <c r="L151" s="2" t="s">
        <v>597</v>
      </c>
      <c r="M151" s="2" t="s">
        <v>485</v>
      </c>
      <c r="N151" s="2" t="s">
        <v>517</v>
      </c>
      <c r="O151" s="2">
        <v>18</v>
      </c>
      <c r="P151" s="2">
        <v>30</v>
      </c>
      <c r="Q151" s="2">
        <v>43</v>
      </c>
      <c r="R151" s="2" t="str">
        <f>CONCATENATE(A151,"_PI.fcs")</f>
        <v>RES_6_7_1_PI.fcs</v>
      </c>
      <c r="S151" s="2" t="s">
        <v>256</v>
      </c>
      <c r="T151" s="2" t="str">
        <f>CONCATENATE(A151,"_SG.fcs")</f>
        <v>RES_6_7_1_SG.fcs</v>
      </c>
      <c r="U151" s="2" t="s">
        <v>441</v>
      </c>
    </row>
    <row r="152" spans="1:21" x14ac:dyDescent="0.25">
      <c r="A152" s="2" t="str">
        <f t="shared" si="4"/>
        <v>COM_1_7_2</v>
      </c>
      <c r="B152" s="20">
        <v>43495</v>
      </c>
      <c r="C152" s="2">
        <v>7</v>
      </c>
      <c r="D152" s="2" t="s">
        <v>6</v>
      </c>
      <c r="E152" s="2">
        <v>2</v>
      </c>
      <c r="F152" s="2">
        <v>2019</v>
      </c>
      <c r="G152" s="2">
        <v>2</v>
      </c>
      <c r="H152" s="2" t="s">
        <v>690</v>
      </c>
      <c r="I152" s="2" t="s">
        <v>10</v>
      </c>
      <c r="J152" s="2" t="s">
        <v>796</v>
      </c>
      <c r="K152" s="2" t="s">
        <v>23</v>
      </c>
      <c r="L152" s="2" t="s">
        <v>493</v>
      </c>
      <c r="M152" s="2" t="s">
        <v>493</v>
      </c>
      <c r="N152" s="2" t="s">
        <v>662</v>
      </c>
      <c r="O152" s="2">
        <v>27</v>
      </c>
      <c r="P152" s="2">
        <v>27</v>
      </c>
      <c r="Q152" s="2">
        <v>29</v>
      </c>
      <c r="R152" s="2" t="str">
        <f>CONCATENATE(A152,"_PI.fcs")</f>
        <v>COM_1_7_2_PI.fcs</v>
      </c>
      <c r="S152" s="2" t="s">
        <v>257</v>
      </c>
      <c r="T152" s="2" t="str">
        <f>CONCATENATE(A152,"_SG.fcs")</f>
        <v>COM_1_7_2_SG.fcs</v>
      </c>
      <c r="U152" s="2" t="s">
        <v>442</v>
      </c>
    </row>
    <row r="153" spans="1:21" x14ac:dyDescent="0.25">
      <c r="A153" s="2" t="str">
        <f t="shared" si="4"/>
        <v>COM_2_7_2</v>
      </c>
      <c r="B153" s="20">
        <v>43495</v>
      </c>
      <c r="C153" s="2">
        <v>7</v>
      </c>
      <c r="D153" s="2" t="s">
        <v>6</v>
      </c>
      <c r="E153" s="2">
        <v>2</v>
      </c>
      <c r="F153" s="2">
        <v>2019</v>
      </c>
      <c r="G153" s="2">
        <v>2</v>
      </c>
      <c r="H153" s="2" t="s">
        <v>692</v>
      </c>
      <c r="I153" s="2" t="s">
        <v>10</v>
      </c>
      <c r="J153" s="2" t="s">
        <v>796</v>
      </c>
      <c r="K153" s="2"/>
      <c r="L153" s="2" t="s">
        <v>653</v>
      </c>
      <c r="M153" s="2" t="s">
        <v>485</v>
      </c>
      <c r="N153" s="2" t="s">
        <v>504</v>
      </c>
      <c r="O153" s="2">
        <v>27</v>
      </c>
      <c r="P153" s="2">
        <v>27</v>
      </c>
      <c r="Q153" s="2">
        <v>29</v>
      </c>
      <c r="R153" s="2" t="str">
        <f>CONCATENATE(A153,"_PI.fcs")</f>
        <v>COM_2_7_2_PI.fcs</v>
      </c>
      <c r="S153" s="2" t="s">
        <v>259</v>
      </c>
      <c r="T153" s="2" t="str">
        <f>CONCATENATE(A153,"_SG.fcs")</f>
        <v>COM_2_7_2_SG.fcs</v>
      </c>
      <c r="U153" s="2" t="s">
        <v>444</v>
      </c>
    </row>
    <row r="154" spans="1:21" x14ac:dyDescent="0.25">
      <c r="A154" s="2" t="str">
        <f t="shared" si="4"/>
        <v>HOUSE_1_7_2</v>
      </c>
      <c r="B154" s="20">
        <v>43495</v>
      </c>
      <c r="C154" s="2">
        <v>7</v>
      </c>
      <c r="D154" s="2" t="s">
        <v>6</v>
      </c>
      <c r="E154" s="2">
        <v>2</v>
      </c>
      <c r="F154" s="2">
        <v>2019</v>
      </c>
      <c r="G154" s="2">
        <v>2</v>
      </c>
      <c r="H154" s="2" t="s">
        <v>691</v>
      </c>
      <c r="I154" s="2" t="s">
        <v>11</v>
      </c>
      <c r="J154" s="2" t="s">
        <v>796</v>
      </c>
      <c r="K154" s="2" t="s">
        <v>57</v>
      </c>
      <c r="L154" s="2" t="s">
        <v>488</v>
      </c>
      <c r="M154" s="2" t="s">
        <v>496</v>
      </c>
      <c r="N154" s="2" t="s">
        <v>509</v>
      </c>
      <c r="O154" s="2">
        <v>27</v>
      </c>
      <c r="P154" s="2">
        <v>27</v>
      </c>
      <c r="Q154" s="2">
        <v>29</v>
      </c>
      <c r="R154" s="2" t="str">
        <f>CONCATENATE(A154,"_PI.fcs")</f>
        <v>HOUSE_1_7_2_PI.fcs</v>
      </c>
      <c r="S154" s="2" t="s">
        <v>258</v>
      </c>
      <c r="T154" s="2" t="str">
        <f>CONCATENATE(A154,"_SG.fcs")</f>
        <v>HOUSE_1_7_2_SG.fcs</v>
      </c>
      <c r="U154" s="2" t="s">
        <v>443</v>
      </c>
    </row>
    <row r="155" spans="1:21" x14ac:dyDescent="0.25">
      <c r="A155" s="2" t="str">
        <f t="shared" si="4"/>
        <v>HOUSE_2_7_2</v>
      </c>
      <c r="B155" s="20">
        <v>43495</v>
      </c>
      <c r="C155" s="2">
        <v>7</v>
      </c>
      <c r="D155" s="2" t="s">
        <v>6</v>
      </c>
      <c r="E155" s="2">
        <v>2</v>
      </c>
      <c r="F155" s="2">
        <v>2019</v>
      </c>
      <c r="G155" s="2">
        <v>2</v>
      </c>
      <c r="H155" s="2" t="s">
        <v>693</v>
      </c>
      <c r="I155" s="2" t="s">
        <v>11</v>
      </c>
      <c r="J155" s="2" t="s">
        <v>796</v>
      </c>
      <c r="K155" s="2" t="s">
        <v>89</v>
      </c>
      <c r="L155" s="2" t="s">
        <v>481</v>
      </c>
      <c r="M155" s="2" t="s">
        <v>493</v>
      </c>
      <c r="N155" s="2" t="s">
        <v>651</v>
      </c>
      <c r="O155" s="2">
        <v>27</v>
      </c>
      <c r="P155" s="2">
        <v>27</v>
      </c>
      <c r="Q155" s="2">
        <v>29</v>
      </c>
      <c r="R155" s="2" t="str">
        <f>CONCATENATE(A155,"_PI.fcs")</f>
        <v>HOUSE_2_7_2_PI.fcs</v>
      </c>
      <c r="S155" s="2" t="s">
        <v>260</v>
      </c>
      <c r="T155" s="2" t="str">
        <f>CONCATENATE(A155,"_SG.fcs")</f>
        <v>HOUSE_2_7_2_SG.fcs</v>
      </c>
      <c r="U155" s="2" t="s">
        <v>445</v>
      </c>
    </row>
    <row r="156" spans="1:21" x14ac:dyDescent="0.25">
      <c r="A156" s="2" t="str">
        <f t="shared" si="4"/>
        <v>HOUSE_3_7_2</v>
      </c>
      <c r="B156" s="20">
        <v>43495</v>
      </c>
      <c r="C156" s="2">
        <v>7</v>
      </c>
      <c r="D156" s="2" t="s">
        <v>6</v>
      </c>
      <c r="E156" s="2">
        <v>2</v>
      </c>
      <c r="F156" s="2">
        <v>2019</v>
      </c>
      <c r="G156" s="2">
        <v>2</v>
      </c>
      <c r="H156" s="2" t="s">
        <v>694</v>
      </c>
      <c r="I156" s="2" t="s">
        <v>11</v>
      </c>
      <c r="J156" s="2" t="s">
        <v>796</v>
      </c>
      <c r="K156" s="2"/>
      <c r="L156" s="2" t="s">
        <v>518</v>
      </c>
      <c r="M156" s="2" t="s">
        <v>660</v>
      </c>
      <c r="N156" s="2" t="s">
        <v>581</v>
      </c>
      <c r="O156" s="2">
        <v>27</v>
      </c>
      <c r="P156" s="2">
        <v>27</v>
      </c>
      <c r="Q156" s="2">
        <v>29</v>
      </c>
      <c r="R156" s="2" t="str">
        <f>CONCATENATE(A156,"_PI.fcs")</f>
        <v>HOUSE_3_7_2_PI.fcs</v>
      </c>
      <c r="S156" s="2" t="s">
        <v>261</v>
      </c>
      <c r="T156" s="2" t="str">
        <f>CONCATENATE(A156,"_SG.fcs")</f>
        <v>HOUSE_3_7_2_SG.fcs</v>
      </c>
      <c r="U156" s="2" t="s">
        <v>446</v>
      </c>
    </row>
    <row r="157" spans="1:21" x14ac:dyDescent="0.25">
      <c r="A157" s="2" t="str">
        <f t="shared" si="4"/>
        <v>HOUSE_4_7_2</v>
      </c>
      <c r="B157" s="20">
        <v>43495</v>
      </c>
      <c r="C157" s="2">
        <v>7</v>
      </c>
      <c r="D157" s="2" t="s">
        <v>6</v>
      </c>
      <c r="E157" s="2">
        <v>2</v>
      </c>
      <c r="F157" s="2">
        <v>2019</v>
      </c>
      <c r="G157" s="2">
        <v>2</v>
      </c>
      <c r="H157" s="2" t="s">
        <v>695</v>
      </c>
      <c r="I157" s="2" t="s">
        <v>11</v>
      </c>
      <c r="J157" s="2" t="s">
        <v>796</v>
      </c>
      <c r="K157" s="2" t="s">
        <v>103</v>
      </c>
      <c r="L157" s="2" t="s">
        <v>483</v>
      </c>
      <c r="M157" s="2" t="s">
        <v>485</v>
      </c>
      <c r="N157" s="2" t="s">
        <v>672</v>
      </c>
      <c r="O157" s="2">
        <v>27</v>
      </c>
      <c r="P157" s="2">
        <v>27</v>
      </c>
      <c r="Q157" s="2">
        <v>29</v>
      </c>
      <c r="R157" s="2" t="str">
        <f>CONCATENATE(A157,"_PI.fcs")</f>
        <v>HOUSE_4_7_2_PI.fcs</v>
      </c>
      <c r="S157" s="2" t="s">
        <v>262</v>
      </c>
      <c r="T157" s="2" t="str">
        <f>CONCATENATE(A157,"_SG.fcs")</f>
        <v>HOUSE_4_7_2_SG.fcs</v>
      </c>
      <c r="U157" s="2" t="s">
        <v>447</v>
      </c>
    </row>
    <row r="158" spans="1:21" x14ac:dyDescent="0.25">
      <c r="A158" s="2" t="str">
        <f t="shared" si="4"/>
        <v>RES_1_8_1</v>
      </c>
      <c r="B158" s="20">
        <v>43502</v>
      </c>
      <c r="C158" s="2">
        <v>8</v>
      </c>
      <c r="D158" s="2" t="s">
        <v>7</v>
      </c>
      <c r="E158" s="2">
        <v>1</v>
      </c>
      <c r="F158" s="2">
        <v>2019</v>
      </c>
      <c r="G158" s="2">
        <v>3</v>
      </c>
      <c r="H158" s="2" t="s">
        <v>684</v>
      </c>
      <c r="I158" s="2" t="s">
        <v>9</v>
      </c>
      <c r="J158" s="2" t="s">
        <v>796</v>
      </c>
      <c r="K158" s="2"/>
      <c r="L158" s="2" t="s">
        <v>511</v>
      </c>
      <c r="M158" s="2" t="s">
        <v>512</v>
      </c>
      <c r="N158" s="2" t="s">
        <v>513</v>
      </c>
      <c r="O158" s="2">
        <v>27</v>
      </c>
      <c r="P158" s="2">
        <v>24</v>
      </c>
      <c r="Q158" s="2">
        <v>23</v>
      </c>
      <c r="R158" s="2" t="str">
        <f>CONCATENATE(A158,"_PI.fcs")</f>
        <v>RES_1_8_1_PI.fcs</v>
      </c>
      <c r="S158" s="2" t="s">
        <v>263</v>
      </c>
      <c r="T158" s="2" t="str">
        <f>CONCATENATE(A158,"_SG.fcs")</f>
        <v>RES_1_8_1_SG.fcs</v>
      </c>
      <c r="U158" s="2" t="s">
        <v>448</v>
      </c>
    </row>
    <row r="159" spans="1:21" x14ac:dyDescent="0.25">
      <c r="A159" s="2" t="str">
        <f t="shared" si="4"/>
        <v>RES_2_8_1</v>
      </c>
      <c r="B159" s="20">
        <v>43502</v>
      </c>
      <c r="C159" s="2">
        <v>8</v>
      </c>
      <c r="D159" s="2" t="s">
        <v>7</v>
      </c>
      <c r="E159" s="2">
        <v>1</v>
      </c>
      <c r="F159" s="2">
        <v>2019</v>
      </c>
      <c r="G159" s="2">
        <v>3</v>
      </c>
      <c r="H159" s="2" t="s">
        <v>685</v>
      </c>
      <c r="I159" s="2" t="s">
        <v>9</v>
      </c>
      <c r="J159" s="2" t="s">
        <v>796</v>
      </c>
      <c r="K159" s="2"/>
      <c r="L159" s="2" t="s">
        <v>491</v>
      </c>
      <c r="M159" s="2" t="s">
        <v>482</v>
      </c>
      <c r="N159" s="2" t="s">
        <v>507</v>
      </c>
      <c r="O159" s="2">
        <v>27</v>
      </c>
      <c r="P159" s="2">
        <v>24</v>
      </c>
      <c r="Q159" s="2">
        <v>23</v>
      </c>
      <c r="R159" s="2" t="str">
        <f>CONCATENATE(A159,"_PI.fcs")</f>
        <v>RES_2_8_1_PI.fcs</v>
      </c>
      <c r="S159" s="2" t="s">
        <v>264</v>
      </c>
      <c r="T159" s="2" t="str">
        <f>CONCATENATE(A159,"_SG.fcs")</f>
        <v>RES_2_8_1_SG.fcs</v>
      </c>
      <c r="U159" s="2" t="s">
        <v>449</v>
      </c>
    </row>
    <row r="160" spans="1:21" x14ac:dyDescent="0.25">
      <c r="A160" s="2" t="str">
        <f t="shared" si="4"/>
        <v>RES_3_8_1</v>
      </c>
      <c r="B160" s="20">
        <v>43502</v>
      </c>
      <c r="C160" s="2">
        <v>8</v>
      </c>
      <c r="D160" s="2" t="s">
        <v>7</v>
      </c>
      <c r="E160" s="2">
        <v>1</v>
      </c>
      <c r="F160" s="2">
        <v>2019</v>
      </c>
      <c r="G160" s="2">
        <v>3</v>
      </c>
      <c r="H160" s="2" t="s">
        <v>686</v>
      </c>
      <c r="I160" s="2" t="s">
        <v>9</v>
      </c>
      <c r="J160" s="2" t="s">
        <v>796</v>
      </c>
      <c r="K160" s="2"/>
      <c r="L160" s="2" t="s">
        <v>574</v>
      </c>
      <c r="M160" s="2" t="s">
        <v>512</v>
      </c>
      <c r="N160" s="2" t="s">
        <v>575</v>
      </c>
      <c r="O160" s="2">
        <v>31</v>
      </c>
      <c r="P160" s="2">
        <v>30</v>
      </c>
      <c r="Q160" s="2">
        <v>28</v>
      </c>
      <c r="R160" s="2" t="str">
        <f>CONCATENATE(A160,"_PI.fcs")</f>
        <v>RES_3_8_1_PI.fcs</v>
      </c>
      <c r="S160" s="2" t="s">
        <v>265</v>
      </c>
      <c r="T160" s="2" t="str">
        <f>CONCATENATE(A160,"_SG.fcs")</f>
        <v>RES_3_8_1_SG.fcs</v>
      </c>
      <c r="U160" s="2" t="s">
        <v>450</v>
      </c>
    </row>
    <row r="161" spans="1:21" x14ac:dyDescent="0.25">
      <c r="A161" s="2" t="str">
        <f t="shared" si="4"/>
        <v>RES_4_8_1</v>
      </c>
      <c r="B161" s="20">
        <v>43502</v>
      </c>
      <c r="C161" s="2">
        <v>8</v>
      </c>
      <c r="D161" s="2" t="s">
        <v>7</v>
      </c>
      <c r="E161" s="2">
        <v>1</v>
      </c>
      <c r="F161" s="2">
        <v>2019</v>
      </c>
      <c r="G161" s="2">
        <v>3</v>
      </c>
      <c r="H161" s="2" t="s">
        <v>687</v>
      </c>
      <c r="I161" s="2" t="s">
        <v>9</v>
      </c>
      <c r="J161" s="2" t="s">
        <v>797</v>
      </c>
      <c r="K161" s="2"/>
      <c r="L161" s="2" t="s">
        <v>605</v>
      </c>
      <c r="M161" s="2" t="s">
        <v>578</v>
      </c>
      <c r="N161" s="2" t="s">
        <v>641</v>
      </c>
      <c r="O161" s="2">
        <v>26</v>
      </c>
      <c r="P161" s="2">
        <v>27</v>
      </c>
      <c r="Q161" s="2">
        <v>24</v>
      </c>
      <c r="R161" s="2" t="str">
        <f>CONCATENATE(A161,"_PI.fcs")</f>
        <v>RES_4_8_1_PI.fcs</v>
      </c>
      <c r="S161" s="2" t="s">
        <v>266</v>
      </c>
      <c r="T161" s="2" t="str">
        <f>CONCATENATE(A161,"_SG.fcs")</f>
        <v>RES_4_8_1_SG.fcs</v>
      </c>
      <c r="U161" s="2" t="s">
        <v>451</v>
      </c>
    </row>
    <row r="162" spans="1:21" x14ac:dyDescent="0.25">
      <c r="A162" s="2" t="str">
        <f t="shared" ref="A162:A187" si="5">CONCATENATE(H162,"_",C162,"_",E162)</f>
        <v>RES_5_8_1</v>
      </c>
      <c r="B162" s="20">
        <v>43502</v>
      </c>
      <c r="C162" s="2">
        <v>8</v>
      </c>
      <c r="D162" s="2" t="s">
        <v>7</v>
      </c>
      <c r="E162" s="2">
        <v>1</v>
      </c>
      <c r="F162" s="2">
        <v>2019</v>
      </c>
      <c r="G162" s="2">
        <v>3</v>
      </c>
      <c r="H162" s="2" t="s">
        <v>688</v>
      </c>
      <c r="I162" s="2" t="s">
        <v>9</v>
      </c>
      <c r="J162" s="2" t="s">
        <v>798</v>
      </c>
      <c r="K162" s="2"/>
      <c r="L162" s="2" t="s">
        <v>597</v>
      </c>
      <c r="M162" s="2" t="s">
        <v>483</v>
      </c>
      <c r="N162" s="2" t="s">
        <v>606</v>
      </c>
      <c r="O162" s="2">
        <v>31</v>
      </c>
      <c r="P162" s="2">
        <v>30</v>
      </c>
      <c r="Q162" s="2">
        <v>28</v>
      </c>
      <c r="R162" s="2" t="str">
        <f t="shared" ref="R162:R187" si="6">CONCATENATE(A162,"_PI.fcs")</f>
        <v>RES_5_8_1_PI.fcs</v>
      </c>
      <c r="S162" s="2" t="s">
        <v>267</v>
      </c>
      <c r="T162" s="2" t="str">
        <f t="shared" ref="T162:T187" si="7">CONCATENATE(A162,"_SG.fcs")</f>
        <v>RES_5_8_1_SG.fcs</v>
      </c>
      <c r="U162" s="2" t="s">
        <v>452</v>
      </c>
    </row>
    <row r="163" spans="1:21" x14ac:dyDescent="0.25">
      <c r="A163" s="2" t="str">
        <f t="shared" si="5"/>
        <v>RES_6_8_1</v>
      </c>
      <c r="B163" s="20">
        <v>43502</v>
      </c>
      <c r="C163" s="2">
        <v>8</v>
      </c>
      <c r="D163" s="2" t="s">
        <v>7</v>
      </c>
      <c r="E163" s="2">
        <v>1</v>
      </c>
      <c r="F163" s="2">
        <v>2019</v>
      </c>
      <c r="G163" s="2">
        <v>3</v>
      </c>
      <c r="H163" s="2" t="s">
        <v>689</v>
      </c>
      <c r="I163" s="2" t="s">
        <v>9</v>
      </c>
      <c r="J163" s="2" t="s">
        <v>798</v>
      </c>
      <c r="K163" s="2" t="s">
        <v>78</v>
      </c>
      <c r="L163" s="2" t="s">
        <v>624</v>
      </c>
      <c r="M163" s="2" t="s">
        <v>508</v>
      </c>
      <c r="N163" s="2" t="s">
        <v>592</v>
      </c>
      <c r="O163" s="2">
        <v>31</v>
      </c>
      <c r="P163" s="2">
        <v>30</v>
      </c>
      <c r="Q163" s="2">
        <v>28</v>
      </c>
      <c r="R163" s="2" t="str">
        <f t="shared" si="6"/>
        <v>RES_6_8_1_PI.fcs</v>
      </c>
      <c r="S163" s="2" t="s">
        <v>268</v>
      </c>
      <c r="T163" s="2" t="str">
        <f t="shared" si="7"/>
        <v>RES_6_8_1_SG.fcs</v>
      </c>
      <c r="U163" s="2" t="s">
        <v>453</v>
      </c>
    </row>
    <row r="164" spans="1:21" x14ac:dyDescent="0.25">
      <c r="A164" s="2" t="str">
        <f t="shared" si="5"/>
        <v>COM_1_8_1</v>
      </c>
      <c r="B164" s="20">
        <v>43509</v>
      </c>
      <c r="C164" s="2">
        <v>8</v>
      </c>
      <c r="D164" s="2" t="s">
        <v>7</v>
      </c>
      <c r="E164" s="2">
        <v>1</v>
      </c>
      <c r="F164" s="2">
        <v>2019</v>
      </c>
      <c r="G164" s="2">
        <v>4</v>
      </c>
      <c r="H164" s="2" t="s">
        <v>690</v>
      </c>
      <c r="I164" s="2" t="s">
        <v>10</v>
      </c>
      <c r="J164" s="2" t="s">
        <v>796</v>
      </c>
      <c r="K164" s="2" t="s">
        <v>24</v>
      </c>
      <c r="L164" s="2" t="s">
        <v>481</v>
      </c>
      <c r="M164" s="2" t="s">
        <v>508</v>
      </c>
      <c r="N164" s="2" t="s">
        <v>663</v>
      </c>
      <c r="O164" s="2">
        <v>31</v>
      </c>
      <c r="P164" s="2">
        <v>31</v>
      </c>
      <c r="Q164" s="2">
        <v>27</v>
      </c>
      <c r="R164" s="2" t="str">
        <f t="shared" si="6"/>
        <v>COM_1_8_1_PI.fcs</v>
      </c>
      <c r="S164" s="2" t="s">
        <v>269</v>
      </c>
      <c r="T164" s="2" t="str">
        <f t="shared" si="7"/>
        <v>COM_1_8_1_SG.fcs</v>
      </c>
      <c r="U164" s="2" t="s">
        <v>454</v>
      </c>
    </row>
    <row r="165" spans="1:21" x14ac:dyDescent="0.25">
      <c r="A165" s="2" t="str">
        <f t="shared" si="5"/>
        <v>COM_2_8_1</v>
      </c>
      <c r="B165" s="20">
        <v>43509</v>
      </c>
      <c r="C165" s="2">
        <v>8</v>
      </c>
      <c r="D165" s="2" t="s">
        <v>7</v>
      </c>
      <c r="E165" s="2">
        <v>1</v>
      </c>
      <c r="F165" s="2">
        <v>2019</v>
      </c>
      <c r="G165" s="2">
        <v>4</v>
      </c>
      <c r="H165" s="2" t="s">
        <v>692</v>
      </c>
      <c r="I165" s="2" t="s">
        <v>10</v>
      </c>
      <c r="J165" s="2" t="s">
        <v>796</v>
      </c>
      <c r="K165" s="2" t="s">
        <v>67</v>
      </c>
      <c r="L165" s="2" t="s">
        <v>522</v>
      </c>
      <c r="M165" s="2" t="s">
        <v>508</v>
      </c>
      <c r="N165" s="2" t="s">
        <v>510</v>
      </c>
      <c r="O165" s="2">
        <v>31</v>
      </c>
      <c r="P165" s="2">
        <v>31</v>
      </c>
      <c r="Q165" s="2">
        <v>27</v>
      </c>
      <c r="R165" s="2" t="str">
        <f t="shared" si="6"/>
        <v>COM_2_8_1_PI.fcs</v>
      </c>
      <c r="S165" s="2" t="s">
        <v>271</v>
      </c>
      <c r="T165" s="2" t="str">
        <f t="shared" si="7"/>
        <v>COM_2_8_1_SG.fcs</v>
      </c>
      <c r="U165" s="2" t="s">
        <v>456</v>
      </c>
    </row>
    <row r="166" spans="1:21" x14ac:dyDescent="0.25">
      <c r="A166" s="2" t="str">
        <f t="shared" si="5"/>
        <v>HOUSE_1_8_1</v>
      </c>
      <c r="B166" s="20">
        <v>43509</v>
      </c>
      <c r="C166" s="2">
        <v>8</v>
      </c>
      <c r="D166" s="2" t="s">
        <v>7</v>
      </c>
      <c r="E166" s="2">
        <v>1</v>
      </c>
      <c r="F166" s="2">
        <v>2019</v>
      </c>
      <c r="G166" s="2">
        <v>4</v>
      </c>
      <c r="H166" s="2" t="s">
        <v>691</v>
      </c>
      <c r="I166" s="2" t="s">
        <v>11</v>
      </c>
      <c r="J166" s="2" t="s">
        <v>796</v>
      </c>
      <c r="K166" s="2" t="s">
        <v>58</v>
      </c>
      <c r="L166" s="2" t="s">
        <v>625</v>
      </c>
      <c r="M166" s="2" t="s">
        <v>482</v>
      </c>
      <c r="N166" s="2" t="s">
        <v>663</v>
      </c>
      <c r="O166" s="2">
        <v>31</v>
      </c>
      <c r="P166" s="2">
        <v>31</v>
      </c>
      <c r="Q166" s="2">
        <v>27</v>
      </c>
      <c r="R166" s="2" t="str">
        <f t="shared" si="6"/>
        <v>HOUSE_1_8_1_PI.fcs</v>
      </c>
      <c r="S166" s="2" t="s">
        <v>270</v>
      </c>
      <c r="T166" s="2" t="str">
        <f t="shared" si="7"/>
        <v>HOUSE_1_8_1_SG.fcs</v>
      </c>
      <c r="U166" s="2" t="s">
        <v>455</v>
      </c>
    </row>
    <row r="167" spans="1:21" x14ac:dyDescent="0.25">
      <c r="A167" s="2" t="str">
        <f t="shared" si="5"/>
        <v>HOUSE_2_8_1</v>
      </c>
      <c r="B167" s="20">
        <v>43509</v>
      </c>
      <c r="C167" s="2">
        <v>8</v>
      </c>
      <c r="D167" s="2" t="s">
        <v>7</v>
      </c>
      <c r="E167" s="2">
        <v>1</v>
      </c>
      <c r="F167" s="2">
        <v>2019</v>
      </c>
      <c r="G167" s="2">
        <v>4</v>
      </c>
      <c r="H167" s="2" t="s">
        <v>693</v>
      </c>
      <c r="I167" s="2" t="s">
        <v>11</v>
      </c>
      <c r="J167" s="2" t="s">
        <v>796</v>
      </c>
      <c r="K167" s="2" t="s">
        <v>90</v>
      </c>
      <c r="L167" s="2" t="s">
        <v>488</v>
      </c>
      <c r="M167" s="2" t="s">
        <v>493</v>
      </c>
      <c r="N167" s="2" t="s">
        <v>634</v>
      </c>
      <c r="O167" s="2">
        <v>31</v>
      </c>
      <c r="P167" s="2">
        <v>31</v>
      </c>
      <c r="Q167" s="2">
        <v>27</v>
      </c>
      <c r="R167" s="2" t="str">
        <f t="shared" si="6"/>
        <v>HOUSE_2_8_1_PI.fcs</v>
      </c>
      <c r="S167" s="2" t="s">
        <v>272</v>
      </c>
      <c r="T167" s="2" t="str">
        <f t="shared" si="7"/>
        <v>HOUSE_2_8_1_SG.fcs</v>
      </c>
      <c r="U167" s="2" t="s">
        <v>457</v>
      </c>
    </row>
    <row r="168" spans="1:21" x14ac:dyDescent="0.25">
      <c r="A168" s="2" t="str">
        <f t="shared" si="5"/>
        <v>HOUSE_3_8_1</v>
      </c>
      <c r="B168" s="20">
        <v>43509</v>
      </c>
      <c r="C168" s="2">
        <v>8</v>
      </c>
      <c r="D168" s="2" t="s">
        <v>7</v>
      </c>
      <c r="E168" s="2">
        <v>1</v>
      </c>
      <c r="F168" s="2">
        <v>2019</v>
      </c>
      <c r="G168" s="2">
        <v>4</v>
      </c>
      <c r="H168" s="2" t="s">
        <v>694</v>
      </c>
      <c r="I168" s="2" t="s">
        <v>11</v>
      </c>
      <c r="J168" s="2" t="s">
        <v>796</v>
      </c>
      <c r="K168" s="2" t="s">
        <v>97</v>
      </c>
      <c r="L168" s="2" t="s">
        <v>481</v>
      </c>
      <c r="M168" s="2" t="s">
        <v>493</v>
      </c>
      <c r="N168" s="2" t="s">
        <v>648</v>
      </c>
      <c r="O168" s="2">
        <v>31</v>
      </c>
      <c r="P168" s="2">
        <v>31</v>
      </c>
      <c r="Q168" s="2">
        <v>27</v>
      </c>
      <c r="R168" s="2" t="str">
        <f t="shared" si="6"/>
        <v>HOUSE_3_8_1_PI.fcs</v>
      </c>
      <c r="S168" s="2" t="s">
        <v>273</v>
      </c>
      <c r="T168" s="2" t="str">
        <f t="shared" si="7"/>
        <v>HOUSE_3_8_1_SG.fcs</v>
      </c>
      <c r="U168" s="2" t="s">
        <v>458</v>
      </c>
    </row>
    <row r="169" spans="1:21" x14ac:dyDescent="0.25">
      <c r="A169" s="2" t="str">
        <f t="shared" si="5"/>
        <v>HOUSE_4_8_1</v>
      </c>
      <c r="B169" s="20">
        <v>43509</v>
      </c>
      <c r="C169" s="2">
        <v>8</v>
      </c>
      <c r="D169" s="2" t="s">
        <v>7</v>
      </c>
      <c r="E169" s="2">
        <v>1</v>
      </c>
      <c r="F169" s="2">
        <v>2019</v>
      </c>
      <c r="G169" s="2">
        <v>4</v>
      </c>
      <c r="H169" s="2" t="s">
        <v>695</v>
      </c>
      <c r="I169" s="2" t="s">
        <v>11</v>
      </c>
      <c r="J169" s="2" t="s">
        <v>796</v>
      </c>
      <c r="K169" s="2" t="s">
        <v>104</v>
      </c>
      <c r="L169" s="2" t="s">
        <v>559</v>
      </c>
      <c r="M169" s="2" t="s">
        <v>508</v>
      </c>
      <c r="N169" s="2" t="s">
        <v>523</v>
      </c>
      <c r="O169" s="2">
        <v>31</v>
      </c>
      <c r="P169" s="2">
        <v>31</v>
      </c>
      <c r="Q169" s="2">
        <v>27</v>
      </c>
      <c r="R169" s="2" t="str">
        <f t="shared" si="6"/>
        <v>HOUSE_4_8_1_PI.fcs</v>
      </c>
      <c r="S169" s="2" t="s">
        <v>274</v>
      </c>
      <c r="T169" s="2" t="str">
        <f t="shared" si="7"/>
        <v>HOUSE_4_8_1_SG.fcs</v>
      </c>
      <c r="U169" s="2" t="s">
        <v>459</v>
      </c>
    </row>
    <row r="170" spans="1:21" x14ac:dyDescent="0.25">
      <c r="A170" s="2" t="str">
        <f t="shared" si="5"/>
        <v>RES_1_8_2</v>
      </c>
      <c r="B170" s="20">
        <v>43516</v>
      </c>
      <c r="C170" s="2">
        <v>8</v>
      </c>
      <c r="D170" s="2" t="s">
        <v>7</v>
      </c>
      <c r="E170" s="2">
        <v>2</v>
      </c>
      <c r="F170" s="2">
        <v>2019</v>
      </c>
      <c r="G170" s="2">
        <v>1</v>
      </c>
      <c r="H170" s="2" t="s">
        <v>684</v>
      </c>
      <c r="I170" s="2" t="s">
        <v>9</v>
      </c>
      <c r="J170" s="2" t="s">
        <v>796</v>
      </c>
      <c r="K170" s="2" t="s">
        <v>34</v>
      </c>
      <c r="L170" s="2" t="s">
        <v>486</v>
      </c>
      <c r="M170" s="2" t="s">
        <v>483</v>
      </c>
      <c r="N170" s="2" t="s">
        <v>514</v>
      </c>
      <c r="O170" s="2">
        <v>25</v>
      </c>
      <c r="P170" s="2">
        <v>24</v>
      </c>
      <c r="Q170" s="2">
        <v>25</v>
      </c>
      <c r="R170" s="2" t="str">
        <f t="shared" si="6"/>
        <v>RES_1_8_2_PI.fcs</v>
      </c>
      <c r="S170" s="2" t="s">
        <v>275</v>
      </c>
      <c r="T170" s="2" t="str">
        <f t="shared" si="7"/>
        <v>RES_1_8_2_SG.fcs</v>
      </c>
      <c r="U170" s="2" t="s">
        <v>460</v>
      </c>
    </row>
    <row r="171" spans="1:21" x14ac:dyDescent="0.25">
      <c r="A171" s="2" t="str">
        <f t="shared" si="5"/>
        <v>RES_2_8_2</v>
      </c>
      <c r="B171" s="20">
        <v>43516</v>
      </c>
      <c r="C171" s="2">
        <v>8</v>
      </c>
      <c r="D171" s="2" t="s">
        <v>7</v>
      </c>
      <c r="E171" s="2">
        <v>2</v>
      </c>
      <c r="F171" s="2">
        <v>2019</v>
      </c>
      <c r="G171" s="2">
        <v>1</v>
      </c>
      <c r="H171" s="2" t="s">
        <v>685</v>
      </c>
      <c r="I171" s="2" t="s">
        <v>9</v>
      </c>
      <c r="J171" s="2" t="s">
        <v>796</v>
      </c>
      <c r="K171" s="2" t="s">
        <v>43</v>
      </c>
      <c r="L171" s="2" t="s">
        <v>485</v>
      </c>
      <c r="M171" s="2" t="s">
        <v>482</v>
      </c>
      <c r="N171" s="2" t="s">
        <v>515</v>
      </c>
      <c r="O171" s="2">
        <v>25</v>
      </c>
      <c r="P171" s="2">
        <v>24</v>
      </c>
      <c r="Q171" s="2">
        <v>25</v>
      </c>
      <c r="R171" s="2" t="str">
        <f t="shared" si="6"/>
        <v>RES_2_8_2_PI.fcs</v>
      </c>
      <c r="S171" s="2" t="s">
        <v>276</v>
      </c>
      <c r="T171" s="2" t="str">
        <f t="shared" si="7"/>
        <v>RES_2_8_2_SG.fcs</v>
      </c>
      <c r="U171" s="2" t="s">
        <v>461</v>
      </c>
    </row>
    <row r="172" spans="1:21" x14ac:dyDescent="0.25">
      <c r="A172" s="2" t="str">
        <f t="shared" si="5"/>
        <v>RES_3_8_2</v>
      </c>
      <c r="B172" s="20">
        <v>43516</v>
      </c>
      <c r="C172" s="2">
        <v>8</v>
      </c>
      <c r="D172" s="2" t="s">
        <v>7</v>
      </c>
      <c r="E172" s="2">
        <v>2</v>
      </c>
      <c r="F172" s="2">
        <v>2019</v>
      </c>
      <c r="G172" s="2">
        <v>1</v>
      </c>
      <c r="H172" s="2" t="s">
        <v>686</v>
      </c>
      <c r="I172" s="2" t="s">
        <v>9</v>
      </c>
      <c r="J172" s="2" t="s">
        <v>796</v>
      </c>
      <c r="K172" s="2" t="s">
        <v>49</v>
      </c>
      <c r="L172" s="2" t="s">
        <v>576</v>
      </c>
      <c r="M172" s="2" t="s">
        <v>577</v>
      </c>
      <c r="N172" s="2" t="s">
        <v>579</v>
      </c>
      <c r="O172" s="2">
        <v>31</v>
      </c>
      <c r="P172" s="2">
        <v>34</v>
      </c>
      <c r="Q172" s="2">
        <v>29</v>
      </c>
      <c r="R172" s="2" t="str">
        <f t="shared" si="6"/>
        <v>RES_3_8_2_PI.fcs</v>
      </c>
      <c r="S172" s="2" t="s">
        <v>277</v>
      </c>
      <c r="T172" s="2" t="str">
        <f t="shared" si="7"/>
        <v>RES_3_8_2_SG.fcs</v>
      </c>
      <c r="U172" s="2" t="s">
        <v>462</v>
      </c>
    </row>
    <row r="173" spans="1:21" x14ac:dyDescent="0.25">
      <c r="A173" s="2" t="str">
        <f t="shared" si="5"/>
        <v>RES_4_8_2</v>
      </c>
      <c r="B173" s="20">
        <v>43516</v>
      </c>
      <c r="C173" s="2">
        <v>8</v>
      </c>
      <c r="D173" s="2" t="s">
        <v>7</v>
      </c>
      <c r="E173" s="2">
        <v>2</v>
      </c>
      <c r="F173" s="2">
        <v>2019</v>
      </c>
      <c r="G173" s="2">
        <v>1</v>
      </c>
      <c r="H173" s="2" t="s">
        <v>687</v>
      </c>
      <c r="I173" s="2" t="s">
        <v>9</v>
      </c>
      <c r="J173" s="2" t="s">
        <v>797</v>
      </c>
      <c r="K173" s="2"/>
      <c r="L173" s="2" t="s">
        <v>576</v>
      </c>
      <c r="M173" s="2" t="s">
        <v>642</v>
      </c>
      <c r="N173" s="2" t="s">
        <v>643</v>
      </c>
      <c r="O173" s="2">
        <v>26</v>
      </c>
      <c r="P173" s="2">
        <v>26</v>
      </c>
      <c r="Q173" s="2">
        <v>26</v>
      </c>
      <c r="R173" s="2" t="str">
        <f t="shared" si="6"/>
        <v>RES_4_8_2_PI.fcs</v>
      </c>
      <c r="S173" s="2" t="s">
        <v>278</v>
      </c>
      <c r="T173" s="2" t="str">
        <f t="shared" si="7"/>
        <v>RES_4_8_2_SG.fcs</v>
      </c>
      <c r="U173" s="2" t="s">
        <v>463</v>
      </c>
    </row>
    <row r="174" spans="1:21" x14ac:dyDescent="0.25">
      <c r="A174" s="2" t="str">
        <f t="shared" si="5"/>
        <v>RES_5_8_2</v>
      </c>
      <c r="B174" s="20">
        <v>43516</v>
      </c>
      <c r="C174" s="2">
        <v>8</v>
      </c>
      <c r="D174" s="2" t="s">
        <v>7</v>
      </c>
      <c r="E174" s="2">
        <v>2</v>
      </c>
      <c r="F174" s="2">
        <v>2019</v>
      </c>
      <c r="G174" s="2">
        <v>1</v>
      </c>
      <c r="H174" s="2" t="s">
        <v>688</v>
      </c>
      <c r="I174" s="2" t="s">
        <v>9</v>
      </c>
      <c r="J174" s="2" t="s">
        <v>798</v>
      </c>
      <c r="K174" s="2"/>
      <c r="L174" s="2" t="s">
        <v>607</v>
      </c>
      <c r="M174" s="2" t="s">
        <v>481</v>
      </c>
      <c r="N174" s="2" t="s">
        <v>608</v>
      </c>
      <c r="O174" s="2">
        <v>31</v>
      </c>
      <c r="P174" s="2">
        <v>34</v>
      </c>
      <c r="Q174" s="2">
        <v>29</v>
      </c>
      <c r="R174" s="2" t="str">
        <f t="shared" si="6"/>
        <v>RES_5_8_2_PI.fcs</v>
      </c>
      <c r="S174" s="2" t="s">
        <v>279</v>
      </c>
      <c r="T174" s="2" t="str">
        <f t="shared" si="7"/>
        <v>RES_5_8_2_SG.fcs</v>
      </c>
      <c r="U174" s="2" t="s">
        <v>464</v>
      </c>
    </row>
    <row r="175" spans="1:21" x14ac:dyDescent="0.25">
      <c r="A175" s="2" t="str">
        <f t="shared" si="5"/>
        <v>RES_6_8_2</v>
      </c>
      <c r="B175" s="20">
        <v>43516</v>
      </c>
      <c r="C175" s="2">
        <v>8</v>
      </c>
      <c r="D175" s="2" t="s">
        <v>7</v>
      </c>
      <c r="E175" s="2">
        <v>2</v>
      </c>
      <c r="F175" s="2">
        <v>2019</v>
      </c>
      <c r="G175" s="2">
        <v>1</v>
      </c>
      <c r="H175" s="2" t="s">
        <v>689</v>
      </c>
      <c r="I175" s="2" t="s">
        <v>9</v>
      </c>
      <c r="J175" s="2" t="s">
        <v>798</v>
      </c>
      <c r="K175" s="2" t="s">
        <v>79</v>
      </c>
      <c r="L175" s="2" t="s">
        <v>625</v>
      </c>
      <c r="M175" s="2" t="s">
        <v>547</v>
      </c>
      <c r="N175" s="2" t="s">
        <v>514</v>
      </c>
      <c r="O175" s="2">
        <v>31</v>
      </c>
      <c r="P175" s="2">
        <v>34</v>
      </c>
      <c r="Q175" s="2">
        <v>29</v>
      </c>
      <c r="R175" s="2" t="str">
        <f t="shared" si="6"/>
        <v>RES_6_8_2_PI.fcs</v>
      </c>
      <c r="S175" s="2" t="s">
        <v>280</v>
      </c>
      <c r="T175" s="2" t="str">
        <f t="shared" si="7"/>
        <v>RES_6_8_2_SG.fcs</v>
      </c>
      <c r="U175" s="2" t="s">
        <v>465</v>
      </c>
    </row>
    <row r="176" spans="1:21" x14ac:dyDescent="0.25">
      <c r="A176" s="2" t="str">
        <f t="shared" si="5"/>
        <v>COM_1_8_2</v>
      </c>
      <c r="B176" s="20">
        <v>43523</v>
      </c>
      <c r="C176" s="2">
        <v>8</v>
      </c>
      <c r="D176" s="2" t="s">
        <v>7</v>
      </c>
      <c r="E176" s="2">
        <v>2</v>
      </c>
      <c r="F176" s="2">
        <v>2019</v>
      </c>
      <c r="G176" s="2">
        <v>2</v>
      </c>
      <c r="H176" s="2" t="s">
        <v>690</v>
      </c>
      <c r="I176" s="2" t="s">
        <v>10</v>
      </c>
      <c r="J176" s="2" t="s">
        <v>796</v>
      </c>
      <c r="K176" s="2" t="s">
        <v>25</v>
      </c>
      <c r="L176" s="2" t="s">
        <v>491</v>
      </c>
      <c r="M176" s="2" t="s">
        <v>489</v>
      </c>
      <c r="N176" s="2" t="s">
        <v>526</v>
      </c>
      <c r="O176" s="2">
        <v>34</v>
      </c>
      <c r="P176" s="2">
        <v>32</v>
      </c>
      <c r="Q176" s="2">
        <v>32</v>
      </c>
      <c r="R176" s="2" t="str">
        <f t="shared" si="6"/>
        <v>COM_1_8_2_PI.fcs</v>
      </c>
      <c r="S176" s="2" t="s">
        <v>281</v>
      </c>
      <c r="T176" s="2" t="str">
        <f t="shared" si="7"/>
        <v>COM_1_8_2_SG.fcs</v>
      </c>
      <c r="U176" s="2" t="s">
        <v>466</v>
      </c>
    </row>
    <row r="177" spans="1:21" x14ac:dyDescent="0.25">
      <c r="A177" s="2" t="str">
        <f t="shared" si="5"/>
        <v>COM_2_8_2</v>
      </c>
      <c r="B177" s="20">
        <v>43523</v>
      </c>
      <c r="C177" s="2">
        <v>8</v>
      </c>
      <c r="D177" s="2" t="s">
        <v>7</v>
      </c>
      <c r="E177" s="2">
        <v>2</v>
      </c>
      <c r="F177" s="2">
        <v>2019</v>
      </c>
      <c r="G177" s="2">
        <v>2</v>
      </c>
      <c r="H177" s="2" t="s">
        <v>692</v>
      </c>
      <c r="I177" s="2" t="s">
        <v>10</v>
      </c>
      <c r="J177" s="2" t="s">
        <v>796</v>
      </c>
      <c r="K177" s="2"/>
      <c r="L177" s="2" t="s">
        <v>505</v>
      </c>
      <c r="M177" s="2" t="s">
        <v>496</v>
      </c>
      <c r="N177" s="2" t="s">
        <v>654</v>
      </c>
      <c r="O177" s="2">
        <v>34</v>
      </c>
      <c r="P177" s="2">
        <v>32</v>
      </c>
      <c r="Q177" s="2">
        <v>32</v>
      </c>
      <c r="R177" s="2" t="str">
        <f t="shared" si="6"/>
        <v>COM_2_8_2_PI.fcs</v>
      </c>
      <c r="S177" s="2" t="s">
        <v>283</v>
      </c>
      <c r="T177" s="2" t="str">
        <f t="shared" si="7"/>
        <v>COM_2_8_2_SG.fcs</v>
      </c>
      <c r="U177" s="2" t="s">
        <v>468</v>
      </c>
    </row>
    <row r="178" spans="1:21" x14ac:dyDescent="0.25">
      <c r="A178" s="2" t="str">
        <f t="shared" si="5"/>
        <v>HOUSE_1_8_2</v>
      </c>
      <c r="B178" s="20">
        <v>43523</v>
      </c>
      <c r="C178" s="2">
        <v>8</v>
      </c>
      <c r="D178" s="2" t="s">
        <v>7</v>
      </c>
      <c r="E178" s="2">
        <v>2</v>
      </c>
      <c r="F178" s="2">
        <v>2019</v>
      </c>
      <c r="G178" s="2">
        <v>2</v>
      </c>
      <c r="H178" s="2" t="s">
        <v>691</v>
      </c>
      <c r="I178" s="2" t="s">
        <v>11</v>
      </c>
      <c r="J178" s="2" t="s">
        <v>796</v>
      </c>
      <c r="K178" s="2"/>
      <c r="L178" s="2" t="s">
        <v>491</v>
      </c>
      <c r="M178" s="2" t="s">
        <v>482</v>
      </c>
      <c r="N178" s="2" t="s">
        <v>583</v>
      </c>
      <c r="O178" s="2">
        <v>34</v>
      </c>
      <c r="P178" s="2">
        <v>32</v>
      </c>
      <c r="Q178" s="2">
        <v>32</v>
      </c>
      <c r="R178" s="2" t="str">
        <f t="shared" si="6"/>
        <v>HOUSE_1_8_2_PI.fcs</v>
      </c>
      <c r="S178" s="2" t="s">
        <v>282</v>
      </c>
      <c r="T178" s="2" t="str">
        <f t="shared" si="7"/>
        <v>HOUSE_1_8_2_SG.fcs</v>
      </c>
      <c r="U178" s="2" t="s">
        <v>467</v>
      </c>
    </row>
    <row r="179" spans="1:21" x14ac:dyDescent="0.25">
      <c r="A179" s="2" t="str">
        <f t="shared" si="5"/>
        <v>HOUSE_2_8_2</v>
      </c>
      <c r="B179" s="20">
        <v>43523</v>
      </c>
      <c r="C179" s="2">
        <v>8</v>
      </c>
      <c r="D179" s="2" t="s">
        <v>7</v>
      </c>
      <c r="E179" s="2">
        <v>2</v>
      </c>
      <c r="F179" s="2">
        <v>2019</v>
      </c>
      <c r="G179" s="2">
        <v>2</v>
      </c>
      <c r="H179" s="2" t="s">
        <v>693</v>
      </c>
      <c r="I179" s="2" t="s">
        <v>11</v>
      </c>
      <c r="J179" s="2" t="s">
        <v>796</v>
      </c>
      <c r="K179" s="2" t="s">
        <v>91</v>
      </c>
      <c r="L179" s="2" t="s">
        <v>485</v>
      </c>
      <c r="M179" s="2" t="s">
        <v>496</v>
      </c>
      <c r="N179" s="2" t="s">
        <v>602</v>
      </c>
      <c r="O179" s="2">
        <v>34</v>
      </c>
      <c r="P179" s="2">
        <v>32</v>
      </c>
      <c r="Q179" s="2">
        <v>32</v>
      </c>
      <c r="R179" s="2" t="str">
        <f t="shared" si="6"/>
        <v>HOUSE_2_8_2_PI.fcs</v>
      </c>
      <c r="S179" s="2" t="s">
        <v>284</v>
      </c>
      <c r="T179" s="2" t="str">
        <f t="shared" si="7"/>
        <v>HOUSE_2_8_2_SG.fcs</v>
      </c>
      <c r="U179" s="2" t="s">
        <v>469</v>
      </c>
    </row>
    <row r="180" spans="1:21" x14ac:dyDescent="0.25">
      <c r="A180" s="2" t="str">
        <f t="shared" si="5"/>
        <v>HOUSE_3_8_2</v>
      </c>
      <c r="B180" s="20">
        <v>43523</v>
      </c>
      <c r="C180" s="2">
        <v>8</v>
      </c>
      <c r="D180" s="2" t="s">
        <v>7</v>
      </c>
      <c r="E180" s="2">
        <v>2</v>
      </c>
      <c r="F180" s="2">
        <v>2019</v>
      </c>
      <c r="G180" s="2">
        <v>2</v>
      </c>
      <c r="H180" s="2" t="s">
        <v>694</v>
      </c>
      <c r="I180" s="2" t="s">
        <v>11</v>
      </c>
      <c r="J180" s="2" t="s">
        <v>796</v>
      </c>
      <c r="K180" s="2"/>
      <c r="L180" s="2" t="s">
        <v>548</v>
      </c>
      <c r="M180" s="2" t="s">
        <v>508</v>
      </c>
      <c r="N180" s="2" t="s">
        <v>641</v>
      </c>
      <c r="O180" s="2">
        <v>34</v>
      </c>
      <c r="P180" s="2">
        <v>32</v>
      </c>
      <c r="Q180" s="2">
        <v>32</v>
      </c>
      <c r="R180" s="2" t="str">
        <f t="shared" si="6"/>
        <v>HOUSE_3_8_2_PI.fcs</v>
      </c>
      <c r="S180" s="2" t="s">
        <v>285</v>
      </c>
      <c r="T180" s="2" t="str">
        <f t="shared" si="7"/>
        <v>HOUSE_3_8_2_SG.fcs</v>
      </c>
      <c r="U180" s="2" t="s">
        <v>470</v>
      </c>
    </row>
    <row r="181" spans="1:21" x14ac:dyDescent="0.25">
      <c r="A181" s="2" t="str">
        <f t="shared" si="5"/>
        <v>HOUSE_4_8_2</v>
      </c>
      <c r="B181" s="20">
        <v>43523</v>
      </c>
      <c r="C181" s="2">
        <v>8</v>
      </c>
      <c r="D181" s="2" t="s">
        <v>7</v>
      </c>
      <c r="E181" s="2">
        <v>2</v>
      </c>
      <c r="F181" s="2">
        <v>2019</v>
      </c>
      <c r="G181" s="2">
        <v>2</v>
      </c>
      <c r="H181" s="2" t="s">
        <v>695</v>
      </c>
      <c r="I181" s="2" t="s">
        <v>11</v>
      </c>
      <c r="J181" s="2" t="s">
        <v>796</v>
      </c>
      <c r="K181" s="2" t="s">
        <v>105</v>
      </c>
      <c r="L181" s="2" t="s">
        <v>494</v>
      </c>
      <c r="M181" s="2" t="s">
        <v>482</v>
      </c>
      <c r="N181" s="2" t="s">
        <v>673</v>
      </c>
      <c r="O181" s="2">
        <v>34</v>
      </c>
      <c r="P181" s="2">
        <v>32</v>
      </c>
      <c r="Q181" s="2">
        <v>32</v>
      </c>
      <c r="R181" s="2" t="str">
        <f t="shared" si="6"/>
        <v>HOUSE_4_8_2_PI.fcs</v>
      </c>
      <c r="S181" s="2" t="s">
        <v>286</v>
      </c>
      <c r="T181" s="2" t="str">
        <f t="shared" si="7"/>
        <v>HOUSE_4_8_2_SG.fcs</v>
      </c>
      <c r="U181" s="2" t="s">
        <v>471</v>
      </c>
    </row>
    <row r="182" spans="1:21" x14ac:dyDescent="0.25">
      <c r="A182" s="2" t="str">
        <f t="shared" si="5"/>
        <v>RES_1_9_1</v>
      </c>
      <c r="B182" s="20">
        <v>43530</v>
      </c>
      <c r="C182" s="2">
        <v>9</v>
      </c>
      <c r="D182" s="2" t="s">
        <v>8</v>
      </c>
      <c r="E182" s="2">
        <v>1</v>
      </c>
      <c r="F182" s="2">
        <v>2019</v>
      </c>
      <c r="G182" s="2">
        <v>3</v>
      </c>
      <c r="H182" s="2" t="s">
        <v>684</v>
      </c>
      <c r="I182" s="2" t="s">
        <v>9</v>
      </c>
      <c r="J182" s="2" t="s">
        <v>796</v>
      </c>
      <c r="K182" s="2" t="s">
        <v>35</v>
      </c>
      <c r="L182" s="2" t="s">
        <v>493</v>
      </c>
      <c r="M182" s="2" t="s">
        <v>482</v>
      </c>
      <c r="N182" s="2" t="s">
        <v>515</v>
      </c>
      <c r="O182" s="2">
        <v>30</v>
      </c>
      <c r="P182" s="2">
        <v>27</v>
      </c>
      <c r="Q182" s="2">
        <v>28</v>
      </c>
      <c r="R182" s="2" t="str">
        <f t="shared" si="6"/>
        <v>RES_1_9_1_PI.fcs</v>
      </c>
      <c r="S182" s="2" t="s">
        <v>287</v>
      </c>
      <c r="T182" s="2" t="str">
        <f t="shared" si="7"/>
        <v>RES_1_9_1_SG.fcs</v>
      </c>
      <c r="U182" s="2" t="s">
        <v>472</v>
      </c>
    </row>
    <row r="183" spans="1:21" x14ac:dyDescent="0.25">
      <c r="A183" s="2" t="str">
        <f t="shared" si="5"/>
        <v>RES_2_9_1</v>
      </c>
      <c r="B183" s="20">
        <v>43530</v>
      </c>
      <c r="C183" s="2">
        <v>9</v>
      </c>
      <c r="D183" s="2" t="s">
        <v>8</v>
      </c>
      <c r="E183" s="2">
        <v>1</v>
      </c>
      <c r="F183" s="2">
        <v>2019</v>
      </c>
      <c r="G183" s="2">
        <v>3</v>
      </c>
      <c r="H183" s="2" t="s">
        <v>685</v>
      </c>
      <c r="I183" s="2" t="s">
        <v>9</v>
      </c>
      <c r="J183" s="2" t="s">
        <v>796</v>
      </c>
      <c r="K183" s="2"/>
      <c r="L183" s="2" t="s">
        <v>544</v>
      </c>
      <c r="M183" s="2" t="s">
        <v>512</v>
      </c>
      <c r="N183" s="2" t="s">
        <v>545</v>
      </c>
      <c r="O183" s="2">
        <v>30</v>
      </c>
      <c r="P183" s="2">
        <v>27</v>
      </c>
      <c r="Q183" s="2">
        <v>28</v>
      </c>
      <c r="R183" s="2" t="str">
        <f t="shared" si="6"/>
        <v>RES_2_9_1_PI.fcs</v>
      </c>
      <c r="S183" s="2" t="s">
        <v>288</v>
      </c>
      <c r="T183" s="2" t="str">
        <f t="shared" si="7"/>
        <v>RES_2_9_1_SG.fcs</v>
      </c>
      <c r="U183" s="2" t="s">
        <v>473</v>
      </c>
    </row>
    <row r="184" spans="1:21" x14ac:dyDescent="0.25">
      <c r="A184" s="2" t="str">
        <f t="shared" si="5"/>
        <v>RES_3_9_1</v>
      </c>
      <c r="B184" s="20">
        <v>43530</v>
      </c>
      <c r="C184" s="2">
        <v>9</v>
      </c>
      <c r="D184" s="2" t="s">
        <v>8</v>
      </c>
      <c r="E184" s="2">
        <v>1</v>
      </c>
      <c r="F184" s="2">
        <v>2019</v>
      </c>
      <c r="G184" s="2">
        <v>3</v>
      </c>
      <c r="H184" s="2" t="s">
        <v>686</v>
      </c>
      <c r="I184" s="2" t="s">
        <v>9</v>
      </c>
      <c r="J184" s="2" t="s">
        <v>796</v>
      </c>
      <c r="K184" s="2"/>
      <c r="L184" s="2" t="s">
        <v>580</v>
      </c>
      <c r="M184" s="2" t="s">
        <v>496</v>
      </c>
      <c r="N184" s="2" t="s">
        <v>581</v>
      </c>
      <c r="O184" s="2">
        <v>34</v>
      </c>
      <c r="P184" s="2">
        <v>34</v>
      </c>
      <c r="Q184" s="2">
        <v>33</v>
      </c>
      <c r="R184" s="2" t="str">
        <f t="shared" si="6"/>
        <v>RES_3_9_1_PI.fcs</v>
      </c>
      <c r="S184" s="2" t="s">
        <v>289</v>
      </c>
      <c r="T184" s="2" t="str">
        <f t="shared" si="7"/>
        <v>RES_3_9_1_SG.fcs</v>
      </c>
      <c r="U184" s="2" t="s">
        <v>474</v>
      </c>
    </row>
    <row r="185" spans="1:21" x14ac:dyDescent="0.25">
      <c r="A185" s="2" t="str">
        <f t="shared" si="5"/>
        <v>RES_4_9_1</v>
      </c>
      <c r="B185" s="20">
        <v>43530</v>
      </c>
      <c r="C185" s="2">
        <v>9</v>
      </c>
      <c r="D185" s="2" t="s">
        <v>8</v>
      </c>
      <c r="E185" s="2">
        <v>1</v>
      </c>
      <c r="F185" s="2">
        <v>2019</v>
      </c>
      <c r="G185" s="2">
        <v>3</v>
      </c>
      <c r="H185" s="2" t="s">
        <v>687</v>
      </c>
      <c r="I185" s="2" t="s">
        <v>9</v>
      </c>
      <c r="J185" s="2" t="s">
        <v>797</v>
      </c>
      <c r="K185" s="2"/>
      <c r="L185" s="2" t="s">
        <v>603</v>
      </c>
      <c r="M185" s="2" t="s">
        <v>637</v>
      </c>
      <c r="N185" s="2" t="s">
        <v>644</v>
      </c>
      <c r="O185" s="2">
        <v>32</v>
      </c>
      <c r="P185" s="2">
        <v>29</v>
      </c>
      <c r="Q185" s="2">
        <v>29</v>
      </c>
      <c r="R185" s="2" t="str">
        <f t="shared" si="6"/>
        <v>RES_4_9_1_PI.fcs</v>
      </c>
      <c r="S185" s="2" t="s">
        <v>290</v>
      </c>
      <c r="T185" s="2" t="str">
        <f t="shared" si="7"/>
        <v>RES_4_9_1_SG.fcs</v>
      </c>
      <c r="U185" s="2" t="s">
        <v>475</v>
      </c>
    </row>
    <row r="186" spans="1:21" x14ac:dyDescent="0.25">
      <c r="A186" s="2" t="str">
        <f t="shared" si="5"/>
        <v>RES_5_9_1</v>
      </c>
      <c r="B186" s="20">
        <v>43530</v>
      </c>
      <c r="C186" s="2">
        <v>9</v>
      </c>
      <c r="D186" s="2" t="s">
        <v>8</v>
      </c>
      <c r="E186" s="2">
        <v>1</v>
      </c>
      <c r="F186" s="2">
        <v>2019</v>
      </c>
      <c r="G186" s="2">
        <v>3</v>
      </c>
      <c r="H186" s="2" t="s">
        <v>688</v>
      </c>
      <c r="I186" s="2" t="s">
        <v>9</v>
      </c>
      <c r="J186" s="2" t="s">
        <v>798</v>
      </c>
      <c r="K186" s="2"/>
      <c r="L186" s="2" t="s">
        <v>569</v>
      </c>
      <c r="M186" s="2" t="s">
        <v>488</v>
      </c>
      <c r="N186" s="2" t="s">
        <v>609</v>
      </c>
      <c r="O186" s="2">
        <v>34</v>
      </c>
      <c r="P186" s="2">
        <v>34</v>
      </c>
      <c r="Q186" s="2">
        <v>33</v>
      </c>
      <c r="R186" s="2" t="str">
        <f t="shared" si="6"/>
        <v>RES_5_9_1_PI.fcs</v>
      </c>
      <c r="S186" s="2" t="s">
        <v>291</v>
      </c>
      <c r="T186" s="2" t="str">
        <f t="shared" si="7"/>
        <v>RES_5_9_1_SG.fcs</v>
      </c>
      <c r="U186" s="2" t="s">
        <v>476</v>
      </c>
    </row>
    <row r="187" spans="1:21" x14ac:dyDescent="0.25">
      <c r="A187" s="2" t="str">
        <f t="shared" si="5"/>
        <v>RES_6_9_1</v>
      </c>
      <c r="B187" s="20">
        <v>43530</v>
      </c>
      <c r="C187" s="2">
        <v>9</v>
      </c>
      <c r="D187" s="2" t="s">
        <v>8</v>
      </c>
      <c r="E187" s="2">
        <v>1</v>
      </c>
      <c r="F187" s="2">
        <v>2019</v>
      </c>
      <c r="G187" s="2">
        <v>3</v>
      </c>
      <c r="H187" s="2" t="s">
        <v>689</v>
      </c>
      <c r="I187" s="2" t="s">
        <v>9</v>
      </c>
      <c r="J187" s="2" t="s">
        <v>798</v>
      </c>
      <c r="K187" s="2"/>
      <c r="L187" s="2" t="s">
        <v>626</v>
      </c>
      <c r="M187" s="2" t="s">
        <v>483</v>
      </c>
      <c r="N187" s="2" t="s">
        <v>627</v>
      </c>
      <c r="O187" s="2">
        <v>34</v>
      </c>
      <c r="P187" s="2">
        <v>34</v>
      </c>
      <c r="Q187" s="2">
        <v>33</v>
      </c>
      <c r="R187" s="2" t="str">
        <f t="shared" si="6"/>
        <v>RES_6_9_1_PI.fcs</v>
      </c>
      <c r="S187" s="2" t="s">
        <v>292</v>
      </c>
      <c r="T187" s="2" t="str">
        <f t="shared" si="7"/>
        <v>RES_6_9_1_SG.fcs</v>
      </c>
      <c r="U187" s="2" t="s">
        <v>477</v>
      </c>
    </row>
  </sheetData>
  <autoFilter ref="A1:U1" xr:uid="{C3E22155-3846-4686-9619-7CD243C31F9F}">
    <sortState xmlns:xlrd2="http://schemas.microsoft.com/office/spreadsheetml/2017/richdata2" ref="A2:U187">
      <sortCondition ref="B1"/>
    </sortState>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E27E0-6E7C-4F40-A784-80E9F0D3BAF1}">
  <dimension ref="A1:AB49"/>
  <sheetViews>
    <sheetView topLeftCell="A8" workbookViewId="0">
      <selection activeCell="H37" sqref="H37"/>
    </sheetView>
  </sheetViews>
  <sheetFormatPr defaultRowHeight="15" x14ac:dyDescent="0.25"/>
  <cols>
    <col min="1" max="1" width="13.42578125" customWidth="1"/>
    <col min="6" max="7" width="13.7109375" customWidth="1"/>
    <col min="8" max="8" width="14.140625" customWidth="1"/>
    <col min="11" max="11" width="12.28515625" customWidth="1"/>
    <col min="14" max="14" width="12.5703125" customWidth="1"/>
    <col min="15" max="15" width="16.42578125" customWidth="1"/>
    <col min="16" max="16" width="11.42578125" customWidth="1"/>
    <col min="19" max="19" width="15.7109375" customWidth="1"/>
    <col min="21" max="21" width="13.7109375" customWidth="1"/>
    <col min="28" max="28" width="13.140625" customWidth="1"/>
  </cols>
  <sheetData>
    <row r="1" spans="1:28" ht="18.75" x14ac:dyDescent="0.3">
      <c r="A1" s="8" t="s">
        <v>786</v>
      </c>
    </row>
    <row r="4" spans="1:28" ht="15.75" x14ac:dyDescent="0.25">
      <c r="A4" s="26" t="s">
        <v>782</v>
      </c>
      <c r="B4" s="26"/>
      <c r="C4" s="26"/>
      <c r="D4" s="26"/>
      <c r="E4" s="26"/>
      <c r="F4" s="26"/>
      <c r="G4" s="26"/>
      <c r="H4" s="26"/>
      <c r="I4" s="26"/>
      <c r="J4" s="26"/>
      <c r="K4" s="26"/>
      <c r="L4" s="26"/>
      <c r="M4" s="26"/>
      <c r="N4" s="26"/>
      <c r="O4" s="27" t="s">
        <v>781</v>
      </c>
      <c r="P4" s="28"/>
      <c r="Q4" s="28"/>
      <c r="R4" s="28"/>
      <c r="S4" s="28"/>
      <c r="T4" s="28"/>
      <c r="U4" s="28"/>
      <c r="V4" s="28"/>
      <c r="W4" s="28"/>
      <c r="X4" s="28"/>
      <c r="Y4" s="28"/>
      <c r="Z4" s="28"/>
      <c r="AA4" s="28"/>
      <c r="AB4" s="29"/>
    </row>
    <row r="5" spans="1:28" ht="45" customHeight="1" x14ac:dyDescent="0.25">
      <c r="A5" s="30" t="s">
        <v>744</v>
      </c>
      <c r="B5" s="31"/>
      <c r="C5" s="31"/>
      <c r="D5" s="31"/>
      <c r="E5" s="31"/>
      <c r="F5" s="31"/>
      <c r="G5" s="32"/>
      <c r="H5" s="30" t="s">
        <v>753</v>
      </c>
      <c r="I5" s="31"/>
      <c r="J5" s="31"/>
      <c r="K5" s="31"/>
      <c r="L5" s="31"/>
      <c r="M5" s="31"/>
      <c r="N5" s="32"/>
      <c r="O5" s="30" t="s">
        <v>744</v>
      </c>
      <c r="P5" s="31"/>
      <c r="Q5" s="31"/>
      <c r="R5" s="31"/>
      <c r="S5" s="31"/>
      <c r="T5" s="31"/>
      <c r="U5" s="32"/>
      <c r="V5" s="30" t="s">
        <v>753</v>
      </c>
      <c r="W5" s="31"/>
      <c r="X5" s="31"/>
      <c r="Y5" s="31"/>
      <c r="Z5" s="31"/>
      <c r="AA5" s="31"/>
      <c r="AB5" s="32"/>
    </row>
    <row r="6" spans="1:28" x14ac:dyDescent="0.25">
      <c r="A6" s="9" t="s">
        <v>746</v>
      </c>
      <c r="B6" s="4" t="s">
        <v>718</v>
      </c>
      <c r="C6" s="4" t="s">
        <v>736</v>
      </c>
      <c r="D6" s="4" t="s">
        <v>727</v>
      </c>
      <c r="E6" s="4" t="s">
        <v>719</v>
      </c>
      <c r="F6" s="5" t="s">
        <v>720</v>
      </c>
      <c r="G6" s="5" t="s">
        <v>728</v>
      </c>
      <c r="H6" s="9" t="s">
        <v>746</v>
      </c>
      <c r="I6" s="4" t="s">
        <v>718</v>
      </c>
      <c r="J6" s="4" t="s">
        <v>736</v>
      </c>
      <c r="K6" s="4" t="s">
        <v>727</v>
      </c>
      <c r="L6" s="4" t="s">
        <v>719</v>
      </c>
      <c r="M6" s="5" t="s">
        <v>720</v>
      </c>
      <c r="N6" s="5" t="s">
        <v>728</v>
      </c>
      <c r="O6" s="9" t="s">
        <v>746</v>
      </c>
      <c r="P6" s="4" t="s">
        <v>718</v>
      </c>
      <c r="Q6" s="4" t="s">
        <v>736</v>
      </c>
      <c r="R6" s="4" t="s">
        <v>727</v>
      </c>
      <c r="S6" s="4" t="s">
        <v>719</v>
      </c>
      <c r="T6" s="5" t="s">
        <v>720</v>
      </c>
      <c r="U6" s="5" t="s">
        <v>728</v>
      </c>
      <c r="V6" s="9" t="s">
        <v>746</v>
      </c>
      <c r="W6" s="4" t="s">
        <v>718</v>
      </c>
      <c r="X6" s="4" t="s">
        <v>736</v>
      </c>
      <c r="Y6" s="4" t="s">
        <v>727</v>
      </c>
      <c r="Z6" s="4" t="s">
        <v>719</v>
      </c>
      <c r="AA6" s="5" t="s">
        <v>720</v>
      </c>
      <c r="AB6" s="5" t="s">
        <v>728</v>
      </c>
    </row>
    <row r="7" spans="1:28" x14ac:dyDescent="0.25">
      <c r="A7" s="4" t="s">
        <v>751</v>
      </c>
      <c r="B7" s="5">
        <v>2</v>
      </c>
      <c r="C7" s="5">
        <v>2.2947000000000002</v>
      </c>
      <c r="D7" s="5">
        <v>8.3760000000000001E-2</v>
      </c>
      <c r="E7" s="5">
        <v>8.2277000000000005</v>
      </c>
      <c r="F7" s="5">
        <v>1E-3</v>
      </c>
      <c r="G7" s="5" t="s">
        <v>706</v>
      </c>
      <c r="H7" s="4" t="s">
        <v>751</v>
      </c>
      <c r="I7" s="5">
        <v>2</v>
      </c>
      <c r="J7" s="5">
        <v>2.7189999999999999</v>
      </c>
      <c r="K7" s="5">
        <v>6.2100000000000002E-2</v>
      </c>
      <c r="L7" s="5">
        <v>5.9592999999999998</v>
      </c>
      <c r="M7" s="5">
        <v>1E-3</v>
      </c>
      <c r="N7" s="5" t="s">
        <v>706</v>
      </c>
      <c r="O7" s="4" t="s">
        <v>751</v>
      </c>
      <c r="P7" s="5">
        <v>2</v>
      </c>
      <c r="Q7" s="5">
        <v>2.7246000000000001</v>
      </c>
      <c r="R7" s="5">
        <v>9.3479999999999994E-2</v>
      </c>
      <c r="S7" s="5">
        <v>3.8151999999999999</v>
      </c>
      <c r="T7" s="5">
        <v>1E-3</v>
      </c>
      <c r="U7" s="5" t="s">
        <v>706</v>
      </c>
      <c r="V7" s="4" t="s">
        <v>751</v>
      </c>
      <c r="W7" s="5">
        <v>2</v>
      </c>
      <c r="X7" s="5">
        <v>2.2509999999999999</v>
      </c>
      <c r="Y7" s="5">
        <v>6.8930000000000005E-2</v>
      </c>
      <c r="Z7" s="5">
        <v>2.7391000000000001</v>
      </c>
      <c r="AA7" s="5">
        <v>1E-3</v>
      </c>
      <c r="AB7" s="24" t="s">
        <v>706</v>
      </c>
    </row>
    <row r="8" spans="1:28" x14ac:dyDescent="0.25">
      <c r="A8" s="4" t="s">
        <v>721</v>
      </c>
      <c r="B8" s="5">
        <v>180</v>
      </c>
      <c r="C8" s="5">
        <v>25.101099999999999</v>
      </c>
      <c r="D8" s="5">
        <v>0.91624000000000005</v>
      </c>
      <c r="E8" s="5"/>
      <c r="F8" s="5"/>
      <c r="G8" s="5"/>
      <c r="H8" s="4" t="s">
        <v>721</v>
      </c>
      <c r="I8" s="5">
        <v>180</v>
      </c>
      <c r="J8" s="5">
        <v>41.061</v>
      </c>
      <c r="K8" s="5">
        <v>0.93789999999999996</v>
      </c>
      <c r="L8" s="5"/>
      <c r="M8" s="5"/>
      <c r="N8" s="5"/>
      <c r="O8" s="4" t="s">
        <v>721</v>
      </c>
      <c r="P8" s="5">
        <v>74</v>
      </c>
      <c r="Q8" s="5">
        <v>26.423400000000001</v>
      </c>
      <c r="R8" s="5">
        <v>0.90651999999999999</v>
      </c>
      <c r="S8" s="5"/>
      <c r="T8" s="5"/>
      <c r="U8" s="5"/>
      <c r="V8" s="4" t="s">
        <v>721</v>
      </c>
      <c r="W8" s="5">
        <v>74</v>
      </c>
      <c r="X8" s="5">
        <v>30.41</v>
      </c>
      <c r="Y8" s="5">
        <v>0.93106999999999995</v>
      </c>
      <c r="Z8" s="5"/>
      <c r="AA8" s="5"/>
      <c r="AB8" s="5"/>
    </row>
    <row r="9" spans="1:28" x14ac:dyDescent="0.25">
      <c r="A9" s="4" t="s">
        <v>722</v>
      </c>
      <c r="B9" s="5">
        <v>182</v>
      </c>
      <c r="C9" s="5">
        <v>27.395800000000001</v>
      </c>
      <c r="D9" s="5">
        <v>1</v>
      </c>
      <c r="E9" s="5"/>
      <c r="F9" s="5"/>
      <c r="G9" s="5"/>
      <c r="H9" s="4" t="s">
        <v>722</v>
      </c>
      <c r="I9" s="5">
        <v>182</v>
      </c>
      <c r="J9" s="5">
        <v>43.78</v>
      </c>
      <c r="K9" s="5">
        <v>1</v>
      </c>
      <c r="L9" s="5"/>
      <c r="M9" s="5"/>
      <c r="N9" s="5"/>
      <c r="O9" s="4" t="s">
        <v>722</v>
      </c>
      <c r="P9" s="5">
        <v>76</v>
      </c>
      <c r="Q9" s="5">
        <v>29.148</v>
      </c>
      <c r="R9" s="5">
        <v>1</v>
      </c>
      <c r="S9" s="5"/>
      <c r="T9" s="10"/>
      <c r="U9" s="10"/>
      <c r="V9" s="4" t="s">
        <v>722</v>
      </c>
      <c r="W9" s="5">
        <v>76</v>
      </c>
      <c r="X9" s="5">
        <v>32.661000000000001</v>
      </c>
      <c r="Y9" s="5">
        <v>1</v>
      </c>
      <c r="Z9" s="5"/>
      <c r="AA9" s="5"/>
      <c r="AB9" s="5"/>
    </row>
    <row r="16" spans="1:28" ht="18.75" x14ac:dyDescent="0.3">
      <c r="A16" s="8" t="s">
        <v>956</v>
      </c>
    </row>
    <row r="18" spans="1:28" ht="15.75" x14ac:dyDescent="0.25">
      <c r="A18" s="26" t="s">
        <v>782</v>
      </c>
      <c r="B18" s="26"/>
      <c r="C18" s="26"/>
      <c r="D18" s="26"/>
      <c r="E18" s="26"/>
      <c r="F18" s="26"/>
      <c r="G18" s="26"/>
      <c r="H18" s="26"/>
      <c r="I18" s="26"/>
      <c r="J18" s="26"/>
      <c r="K18" s="26"/>
      <c r="L18" s="26"/>
      <c r="M18" s="26"/>
      <c r="N18" s="26"/>
      <c r="O18" s="27" t="s">
        <v>779</v>
      </c>
      <c r="P18" s="28"/>
      <c r="Q18" s="28"/>
      <c r="R18" s="28"/>
      <c r="S18" s="28"/>
      <c r="T18" s="28"/>
      <c r="U18" s="28"/>
      <c r="V18" s="28"/>
      <c r="W18" s="28"/>
      <c r="X18" s="28"/>
      <c r="Y18" s="28"/>
      <c r="Z18" s="28"/>
      <c r="AA18" s="28"/>
      <c r="AB18" s="29"/>
    </row>
    <row r="19" spans="1:28" ht="15" customHeight="1" x14ac:dyDescent="0.25">
      <c r="A19" s="30" t="s">
        <v>745</v>
      </c>
      <c r="B19" s="31"/>
      <c r="C19" s="31"/>
      <c r="D19" s="31"/>
      <c r="E19" s="31"/>
      <c r="F19" s="31"/>
      <c r="G19" s="32"/>
      <c r="H19" s="30" t="s">
        <v>754</v>
      </c>
      <c r="I19" s="31"/>
      <c r="J19" s="31"/>
      <c r="K19" s="31"/>
      <c r="L19" s="31"/>
      <c r="M19" s="31"/>
      <c r="N19" s="32"/>
      <c r="O19" s="30" t="s">
        <v>745</v>
      </c>
      <c r="P19" s="31"/>
      <c r="Q19" s="31"/>
      <c r="R19" s="31"/>
      <c r="S19" s="31"/>
      <c r="T19" s="31"/>
      <c r="U19" s="32"/>
      <c r="V19" s="30" t="s">
        <v>754</v>
      </c>
      <c r="W19" s="31"/>
      <c r="X19" s="31"/>
      <c r="Y19" s="31"/>
      <c r="Z19" s="31"/>
      <c r="AA19" s="31"/>
      <c r="AB19" s="32"/>
    </row>
    <row r="20" spans="1:28" x14ac:dyDescent="0.25">
      <c r="A20" s="9" t="s">
        <v>746</v>
      </c>
      <c r="B20" s="4" t="s">
        <v>718</v>
      </c>
      <c r="C20" s="4" t="s">
        <v>736</v>
      </c>
      <c r="D20" s="4" t="s">
        <v>737</v>
      </c>
      <c r="E20" s="4" t="s">
        <v>738</v>
      </c>
      <c r="F20" s="5" t="s">
        <v>720</v>
      </c>
      <c r="G20" s="5" t="s">
        <v>728</v>
      </c>
      <c r="H20" s="9" t="s">
        <v>746</v>
      </c>
      <c r="I20" s="4" t="s">
        <v>718</v>
      </c>
      <c r="J20" s="4" t="s">
        <v>736</v>
      </c>
      <c r="K20" s="4" t="s">
        <v>737</v>
      </c>
      <c r="L20" s="4" t="s">
        <v>738</v>
      </c>
      <c r="M20" s="5" t="s">
        <v>720</v>
      </c>
      <c r="N20" s="5" t="s">
        <v>728</v>
      </c>
      <c r="O20" s="9" t="s">
        <v>746</v>
      </c>
      <c r="P20" s="4" t="s">
        <v>718</v>
      </c>
      <c r="Q20" s="4" t="s">
        <v>736</v>
      </c>
      <c r="R20" s="4" t="s">
        <v>737</v>
      </c>
      <c r="S20" s="4" t="s">
        <v>738</v>
      </c>
      <c r="T20" s="5" t="s">
        <v>720</v>
      </c>
      <c r="U20" s="5" t="s">
        <v>728</v>
      </c>
      <c r="V20" s="9" t="s">
        <v>746</v>
      </c>
      <c r="W20" s="4" t="s">
        <v>718</v>
      </c>
      <c r="X20" s="4" t="s">
        <v>736</v>
      </c>
      <c r="Y20" s="4" t="s">
        <v>737</v>
      </c>
      <c r="Z20" s="4" t="s">
        <v>738</v>
      </c>
      <c r="AA20" s="5" t="s">
        <v>720</v>
      </c>
      <c r="AB20" s="5" t="s">
        <v>728</v>
      </c>
    </row>
    <row r="21" spans="1:28" ht="30" x14ac:dyDescent="0.25">
      <c r="A21" s="4" t="s">
        <v>752</v>
      </c>
      <c r="B21" s="5">
        <v>2</v>
      </c>
      <c r="C21" s="5">
        <v>7.66</v>
      </c>
      <c r="D21" s="5">
        <v>3.83</v>
      </c>
      <c r="E21" s="5">
        <v>206.7</v>
      </c>
      <c r="F21" s="5" t="s">
        <v>734</v>
      </c>
      <c r="G21" s="5" t="s">
        <v>706</v>
      </c>
      <c r="H21" s="4" t="s">
        <v>752</v>
      </c>
      <c r="I21" s="5">
        <v>2</v>
      </c>
      <c r="J21" s="5">
        <v>5.43</v>
      </c>
      <c r="K21" s="5">
        <v>2.7160000000000002</v>
      </c>
      <c r="L21" s="5">
        <v>188</v>
      </c>
      <c r="M21" s="5" t="s">
        <v>734</v>
      </c>
      <c r="N21" s="5" t="s">
        <v>706</v>
      </c>
      <c r="O21" s="4" t="s">
        <v>752</v>
      </c>
      <c r="P21" s="5">
        <v>2</v>
      </c>
      <c r="Q21" s="5">
        <v>0.40500000000000003</v>
      </c>
      <c r="R21" s="5">
        <v>0.20233000000000001</v>
      </c>
      <c r="S21" s="5">
        <v>14.29</v>
      </c>
      <c r="T21" s="5" t="s">
        <v>755</v>
      </c>
      <c r="U21" s="5" t="s">
        <v>706</v>
      </c>
      <c r="V21" s="4" t="s">
        <v>752</v>
      </c>
      <c r="W21" s="5">
        <v>2</v>
      </c>
      <c r="X21" s="5">
        <v>0.14899999999999999</v>
      </c>
      <c r="Y21" s="5">
        <v>7.4639999999999998E-2</v>
      </c>
      <c r="Z21" s="5">
        <v>10.94</v>
      </c>
      <c r="AA21" s="5" t="s">
        <v>756</v>
      </c>
      <c r="AB21" s="5" t="s">
        <v>706</v>
      </c>
    </row>
    <row r="22" spans="1:28" ht="30" x14ac:dyDescent="0.25">
      <c r="A22" s="4" t="s">
        <v>735</v>
      </c>
      <c r="B22" s="5">
        <v>9881</v>
      </c>
      <c r="C22" s="5">
        <v>183.07</v>
      </c>
      <c r="D22" s="5">
        <v>1.9E-2</v>
      </c>
      <c r="E22" s="5"/>
      <c r="F22" s="5"/>
      <c r="G22" s="5"/>
      <c r="H22" s="4" t="s">
        <v>735</v>
      </c>
      <c r="I22" s="5">
        <v>9881</v>
      </c>
      <c r="J22" s="5">
        <v>142.75</v>
      </c>
      <c r="K22" s="5">
        <v>1.44E-2</v>
      </c>
      <c r="L22" s="5"/>
      <c r="M22" s="5"/>
      <c r="N22" s="5"/>
      <c r="O22" s="4" t="s">
        <v>735</v>
      </c>
      <c r="P22" s="5">
        <v>1939</v>
      </c>
      <c r="Q22" s="5">
        <v>27.448</v>
      </c>
      <c r="R22" s="5">
        <v>1.4160000000000001E-2</v>
      </c>
      <c r="S22" s="6"/>
      <c r="T22" s="5"/>
      <c r="U22" s="5"/>
      <c r="V22" s="4" t="s">
        <v>735</v>
      </c>
      <c r="W22" s="5">
        <v>1939</v>
      </c>
      <c r="X22" s="5">
        <v>13.234</v>
      </c>
      <c r="Y22" s="5">
        <v>6.8300000000000001E-3</v>
      </c>
      <c r="Z22" s="5">
        <v>6.8300000000000001E-3</v>
      </c>
      <c r="AA22" s="5"/>
      <c r="AB22" s="5"/>
    </row>
    <row r="23" spans="1:28" x14ac:dyDescent="0.25">
      <c r="A23" s="4"/>
      <c r="B23" s="5"/>
      <c r="C23" s="5"/>
      <c r="D23" s="5"/>
      <c r="E23" s="5"/>
      <c r="F23" s="5"/>
      <c r="G23" s="5"/>
      <c r="H23" s="4"/>
      <c r="I23" s="5"/>
      <c r="J23" s="5"/>
      <c r="K23" s="5"/>
      <c r="L23" s="5"/>
      <c r="M23" s="5"/>
      <c r="N23" s="5"/>
      <c r="O23" s="4"/>
      <c r="P23" s="5"/>
      <c r="Q23" s="5"/>
      <c r="R23" s="5"/>
      <c r="S23" s="5"/>
      <c r="T23" s="5"/>
      <c r="U23" s="5"/>
      <c r="V23" s="4"/>
      <c r="W23" s="5"/>
      <c r="X23" s="5"/>
      <c r="Y23" s="5"/>
      <c r="Z23" s="5"/>
      <c r="AA23" s="5"/>
      <c r="AB23" s="5"/>
    </row>
    <row r="32" spans="1:28" ht="18.75" x14ac:dyDescent="0.3">
      <c r="A32" s="8" t="s">
        <v>787</v>
      </c>
    </row>
    <row r="34" spans="1:20" ht="15.75" x14ac:dyDescent="0.25">
      <c r="A34" s="27" t="s">
        <v>782</v>
      </c>
      <c r="B34" s="28"/>
      <c r="C34" s="28"/>
      <c r="D34" s="28"/>
      <c r="E34" s="28"/>
      <c r="F34" s="28"/>
      <c r="G34" s="28"/>
      <c r="H34" s="28"/>
      <c r="I34" s="28"/>
      <c r="J34" s="29"/>
      <c r="K34" s="26" t="s">
        <v>779</v>
      </c>
      <c r="L34" s="26"/>
      <c r="M34" s="26"/>
      <c r="N34" s="26"/>
      <c r="O34" s="26"/>
      <c r="P34" s="26"/>
      <c r="Q34" s="26"/>
      <c r="R34" s="26"/>
      <c r="S34" s="26"/>
      <c r="T34" s="26"/>
    </row>
    <row r="35" spans="1:20" x14ac:dyDescent="0.25">
      <c r="A35" s="30" t="s">
        <v>784</v>
      </c>
      <c r="B35" s="31"/>
      <c r="C35" s="31"/>
      <c r="D35" s="31"/>
      <c r="E35" s="32"/>
      <c r="F35" s="30" t="s">
        <v>785</v>
      </c>
      <c r="G35" s="31"/>
      <c r="H35" s="31"/>
      <c r="I35" s="31"/>
      <c r="J35" s="32"/>
      <c r="K35" s="30" t="s">
        <v>784</v>
      </c>
      <c r="L35" s="31"/>
      <c r="M35" s="31"/>
      <c r="N35" s="31"/>
      <c r="O35" s="32"/>
      <c r="P35" s="30" t="s">
        <v>785</v>
      </c>
      <c r="Q35" s="31"/>
      <c r="R35" s="31"/>
      <c r="S35" s="31"/>
      <c r="T35" s="32"/>
    </row>
    <row r="36" spans="1:20" ht="30" x14ac:dyDescent="0.25">
      <c r="A36" s="9" t="s">
        <v>739</v>
      </c>
      <c r="B36" s="4" t="s">
        <v>747</v>
      </c>
      <c r="C36" s="4" t="s">
        <v>748</v>
      </c>
      <c r="D36" s="4" t="s">
        <v>749</v>
      </c>
      <c r="E36" s="4" t="s">
        <v>750</v>
      </c>
      <c r="F36" s="9" t="s">
        <v>739</v>
      </c>
      <c r="G36" s="4" t="s">
        <v>747</v>
      </c>
      <c r="H36" s="4" t="s">
        <v>748</v>
      </c>
      <c r="I36" s="4" t="s">
        <v>749</v>
      </c>
      <c r="J36" s="4" t="s">
        <v>750</v>
      </c>
      <c r="K36" s="9" t="s">
        <v>739</v>
      </c>
      <c r="L36" s="4" t="s">
        <v>747</v>
      </c>
      <c r="M36" s="4" t="s">
        <v>748</v>
      </c>
      <c r="N36" s="4" t="s">
        <v>749</v>
      </c>
      <c r="O36" s="4" t="s">
        <v>750</v>
      </c>
      <c r="P36" s="9" t="s">
        <v>739</v>
      </c>
      <c r="Q36" s="4" t="s">
        <v>747</v>
      </c>
      <c r="R36" s="4" t="s">
        <v>748</v>
      </c>
      <c r="S36" s="4" t="s">
        <v>749</v>
      </c>
      <c r="T36" s="4" t="s">
        <v>750</v>
      </c>
    </row>
    <row r="37" spans="1:20" ht="60" x14ac:dyDescent="0.25">
      <c r="A37" s="4" t="s">
        <v>740</v>
      </c>
      <c r="B37" s="5">
        <v>7.3700000000000002E-2</v>
      </c>
      <c r="C37" s="5">
        <v>6.3600000000000004E-2</v>
      </c>
      <c r="D37" s="5">
        <v>8.3799999999999999E-2</v>
      </c>
      <c r="E37" s="5" t="s">
        <v>741</v>
      </c>
      <c r="F37" s="4" t="s">
        <v>740</v>
      </c>
      <c r="G37" s="5">
        <v>6.2300000000000001E-2</v>
      </c>
      <c r="H37" s="5">
        <v>5.3400000000000003E-2</v>
      </c>
      <c r="I37" s="5">
        <v>7.1199999999999999E-2</v>
      </c>
      <c r="J37" s="5" t="s">
        <v>741</v>
      </c>
      <c r="K37" s="4" t="s">
        <v>740</v>
      </c>
      <c r="L37" s="5">
        <v>2.1999999999999999E-2</v>
      </c>
      <c r="M37" s="5">
        <v>5.1999999999999998E-3</v>
      </c>
      <c r="N37" s="5">
        <v>3.8800000000000001E-2</v>
      </c>
      <c r="O37" s="5">
        <v>6.1999999999999998E-3</v>
      </c>
      <c r="P37" s="4" t="s">
        <v>740</v>
      </c>
      <c r="Q37" s="5">
        <v>1.29E-2</v>
      </c>
      <c r="R37" s="5">
        <v>1.1999999999999999E-3</v>
      </c>
      <c r="S37" s="5">
        <v>2.4500000000000001E-2</v>
      </c>
      <c r="T37" s="5">
        <v>2.6800000000000001E-2</v>
      </c>
    </row>
    <row r="38" spans="1:20" ht="75" x14ac:dyDescent="0.25">
      <c r="A38" s="4" t="s">
        <v>742</v>
      </c>
      <c r="B38" s="5">
        <v>1.6899999999999998E-2</v>
      </c>
      <c r="C38" s="5">
        <v>7.7000000000000002E-3</v>
      </c>
      <c r="D38" s="5">
        <v>2.5999999999999999E-2</v>
      </c>
      <c r="E38" s="5">
        <v>4.4799999999999998E-5</v>
      </c>
      <c r="F38" s="4" t="s">
        <v>742</v>
      </c>
      <c r="G38" s="5">
        <v>1.46E-2</v>
      </c>
      <c r="H38" s="5">
        <v>6.6E-3</v>
      </c>
      <c r="I38" s="5">
        <v>2.2700000000000001E-2</v>
      </c>
      <c r="J38" s="5">
        <v>6.3299999999999994E-5</v>
      </c>
      <c r="K38" s="4" t="s">
        <v>742</v>
      </c>
      <c r="L38" s="5">
        <v>-1.2500000000000001E-2</v>
      </c>
      <c r="M38" s="5">
        <v>-2.8000000000000001E-2</v>
      </c>
      <c r="N38" s="5">
        <v>3.0000000000000001E-3</v>
      </c>
      <c r="O38" s="5">
        <v>0.1404</v>
      </c>
      <c r="P38" s="4" t="s">
        <v>742</v>
      </c>
      <c r="Q38" s="5">
        <v>-8.0999999999999996E-3</v>
      </c>
      <c r="R38" s="5">
        <v>-1.8800000000000001E-2</v>
      </c>
      <c r="S38" s="5">
        <v>2.5999999999999999E-3</v>
      </c>
      <c r="T38" s="5">
        <v>0.17949999999999999</v>
      </c>
    </row>
    <row r="39" spans="1:20" ht="75" x14ac:dyDescent="0.25">
      <c r="A39" s="4" t="s">
        <v>743</v>
      </c>
      <c r="B39" s="5">
        <v>-5.6800000000000003E-2</v>
      </c>
      <c r="C39" s="5">
        <v>-6.4299999999999996E-2</v>
      </c>
      <c r="D39" s="5">
        <v>-4.9399999999999999E-2</v>
      </c>
      <c r="E39" s="5" t="s">
        <v>741</v>
      </c>
      <c r="F39" s="4" t="s">
        <v>743</v>
      </c>
      <c r="G39" s="5">
        <v>-4.7699999999999999E-2</v>
      </c>
      <c r="H39" s="5">
        <v>-5.4199999999999998E-2</v>
      </c>
      <c r="I39" s="5">
        <v>-4.1099999999999998E-2</v>
      </c>
      <c r="J39" s="5" t="s">
        <v>741</v>
      </c>
      <c r="K39" s="4" t="s">
        <v>743</v>
      </c>
      <c r="L39" s="5">
        <v>-3.4500000000000003E-2</v>
      </c>
      <c r="M39" s="5">
        <v>-4.9599999999999998E-2</v>
      </c>
      <c r="N39" s="5">
        <v>-1.9300000000000001E-2</v>
      </c>
      <c r="O39" s="5">
        <v>2.9999999999999999E-7</v>
      </c>
      <c r="P39" s="4" t="s">
        <v>743</v>
      </c>
      <c r="Q39" s="5">
        <v>-2.1000000000000001E-2</v>
      </c>
      <c r="R39" s="5">
        <v>-3.15E-2</v>
      </c>
      <c r="S39" s="5">
        <v>-1.04E-2</v>
      </c>
      <c r="T39" s="5">
        <v>9.3000000000000007E-6</v>
      </c>
    </row>
    <row r="47" spans="1:20" ht="18.75" x14ac:dyDescent="0.3">
      <c r="A47" s="8"/>
    </row>
    <row r="49" ht="45" customHeight="1" x14ac:dyDescent="0.25"/>
  </sheetData>
  <mergeCells count="18">
    <mergeCell ref="A35:E35"/>
    <mergeCell ref="H5:N5"/>
    <mergeCell ref="H19:N19"/>
    <mergeCell ref="F35:J35"/>
    <mergeCell ref="A34:J34"/>
    <mergeCell ref="K34:T34"/>
    <mergeCell ref="O5:U5"/>
    <mergeCell ref="O19:U19"/>
    <mergeCell ref="K35:O35"/>
    <mergeCell ref="P35:T35"/>
    <mergeCell ref="A4:N4"/>
    <mergeCell ref="O4:AB4"/>
    <mergeCell ref="A19:G19"/>
    <mergeCell ref="A18:N18"/>
    <mergeCell ref="O18:AB18"/>
    <mergeCell ref="A5:G5"/>
    <mergeCell ref="V5:AB5"/>
    <mergeCell ref="V19:AB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50B7-9611-4926-9C9E-AEC140F66FA1}">
  <dimension ref="A1:J18"/>
  <sheetViews>
    <sheetView topLeftCell="A5" workbookViewId="0">
      <selection activeCell="D20" sqref="D20"/>
    </sheetView>
  </sheetViews>
  <sheetFormatPr defaultRowHeight="15" x14ac:dyDescent="0.25"/>
  <cols>
    <col min="1" max="1" width="26.42578125" customWidth="1"/>
    <col min="2" max="2" width="15.140625" customWidth="1"/>
    <col min="11" max="11" width="10.140625" customWidth="1"/>
  </cols>
  <sheetData>
    <row r="1" spans="1:10" ht="18.75" x14ac:dyDescent="0.3">
      <c r="A1" s="8" t="s">
        <v>780</v>
      </c>
    </row>
    <row r="3" spans="1:10" ht="15.75" x14ac:dyDescent="0.25">
      <c r="C3" s="26" t="s">
        <v>778</v>
      </c>
      <c r="D3" s="26"/>
      <c r="E3" s="26"/>
      <c r="F3" s="26"/>
      <c r="G3" s="26" t="s">
        <v>779</v>
      </c>
      <c r="H3" s="26"/>
      <c r="I3" s="26"/>
      <c r="J3" s="26"/>
    </row>
    <row r="4" spans="1:10" x14ac:dyDescent="0.25">
      <c r="A4" s="3" t="s">
        <v>708</v>
      </c>
      <c r="B4" s="3" t="s">
        <v>733</v>
      </c>
      <c r="C4" s="23" t="s">
        <v>709</v>
      </c>
      <c r="D4" s="3" t="s">
        <v>710</v>
      </c>
      <c r="E4" s="3" t="s">
        <v>711</v>
      </c>
      <c r="F4" s="3" t="s">
        <v>712</v>
      </c>
      <c r="G4" s="3" t="s">
        <v>709</v>
      </c>
      <c r="H4" s="3" t="s">
        <v>710</v>
      </c>
      <c r="I4" s="3" t="s">
        <v>711</v>
      </c>
      <c r="J4" s="3" t="s">
        <v>712</v>
      </c>
    </row>
    <row r="5" spans="1:10" x14ac:dyDescent="0.25">
      <c r="A5" s="25" t="s">
        <v>713</v>
      </c>
      <c r="B5" s="25" t="s">
        <v>729</v>
      </c>
      <c r="C5" s="4">
        <v>0.50949999999999995</v>
      </c>
      <c r="D5" s="4">
        <v>0.13389999999999999</v>
      </c>
      <c r="E5" s="4">
        <v>0.15010000000000001</v>
      </c>
      <c r="F5" s="4">
        <v>0.83450000000000002</v>
      </c>
      <c r="G5" s="2">
        <v>0.87995676691729319</v>
      </c>
      <c r="H5" s="2">
        <v>0.11689415678335879</v>
      </c>
      <c r="I5" s="2">
        <v>0.17050000000000001</v>
      </c>
      <c r="J5" s="2">
        <v>1</v>
      </c>
    </row>
    <row r="6" spans="1:10" x14ac:dyDescent="0.25">
      <c r="A6" s="4" t="s">
        <v>714</v>
      </c>
      <c r="B6" s="4" t="s">
        <v>729</v>
      </c>
      <c r="C6" s="4">
        <v>0.58320000000000005</v>
      </c>
      <c r="D6" s="4">
        <v>0.13769999999999999</v>
      </c>
      <c r="E6" s="4">
        <v>0</v>
      </c>
      <c r="F6" s="4">
        <v>0.90590000000000004</v>
      </c>
      <c r="G6" s="2">
        <v>0.9019508771929825</v>
      </c>
      <c r="H6" s="2">
        <v>0.11231989781702249</v>
      </c>
      <c r="I6" s="2">
        <v>0.1535</v>
      </c>
      <c r="J6" s="2">
        <v>1</v>
      </c>
    </row>
    <row r="7" spans="1:10" x14ac:dyDescent="0.25">
      <c r="A7" s="4" t="s">
        <v>715</v>
      </c>
      <c r="B7" s="4" t="s">
        <v>729</v>
      </c>
      <c r="C7" s="4">
        <v>0.52639999999999998</v>
      </c>
      <c r="D7" s="4">
        <v>0.13589999999999999</v>
      </c>
      <c r="E7" s="4">
        <v>0</v>
      </c>
      <c r="F7" s="4">
        <v>0.89710000000000001</v>
      </c>
      <c r="G7" s="2">
        <v>0.86746488095238095</v>
      </c>
      <c r="H7" s="2">
        <v>0.1245453529888535</v>
      </c>
      <c r="I7" s="2">
        <v>7.6499999999999999E-2</v>
      </c>
      <c r="J7" s="2">
        <v>0.99950000000000006</v>
      </c>
    </row>
    <row r="8" spans="1:10" x14ac:dyDescent="0.25">
      <c r="A8" s="4" t="s">
        <v>713</v>
      </c>
      <c r="B8" s="4" t="s">
        <v>730</v>
      </c>
      <c r="C8" s="4">
        <v>0.66439999999999999</v>
      </c>
      <c r="D8" s="4">
        <v>0.1216</v>
      </c>
      <c r="E8" s="4">
        <v>0.26100000000000001</v>
      </c>
      <c r="F8" s="4">
        <v>0.90980000000000005</v>
      </c>
      <c r="G8" s="4">
        <v>0.93128286125574078</v>
      </c>
      <c r="H8" s="4">
        <v>7.9380212766530719E-2</v>
      </c>
      <c r="I8" s="4">
        <v>0.29132849209739431</v>
      </c>
      <c r="J8" s="4">
        <v>1</v>
      </c>
    </row>
    <row r="9" spans="1:10" x14ac:dyDescent="0.25">
      <c r="A9" s="4" t="s">
        <v>714</v>
      </c>
      <c r="B9" s="4" t="s">
        <v>730</v>
      </c>
      <c r="C9" s="4">
        <v>0.72670000000000001</v>
      </c>
      <c r="D9" s="4">
        <v>0.1169</v>
      </c>
      <c r="E9" s="4">
        <v>0</v>
      </c>
      <c r="F9" s="4">
        <v>0.9506</v>
      </c>
      <c r="G9" s="4">
        <v>0.94413643576251083</v>
      </c>
      <c r="H9" s="4">
        <v>7.4143778427968307E-2</v>
      </c>
      <c r="I9" s="4">
        <v>0.26614651061985262</v>
      </c>
      <c r="J9" s="4">
        <v>1</v>
      </c>
    </row>
    <row r="10" spans="1:10" x14ac:dyDescent="0.25">
      <c r="A10" s="4" t="s">
        <v>715</v>
      </c>
      <c r="B10" s="4" t="s">
        <v>730</v>
      </c>
      <c r="C10" s="4">
        <v>0.67900000000000005</v>
      </c>
      <c r="D10" s="4">
        <v>0.12139999999999999</v>
      </c>
      <c r="E10" s="4">
        <v>0</v>
      </c>
      <c r="F10" s="4">
        <v>0.94579999999999997</v>
      </c>
      <c r="G10" s="4">
        <v>0.92317365062287837</v>
      </c>
      <c r="H10" s="4">
        <v>8.9760793256978888E-2</v>
      </c>
      <c r="I10" s="4">
        <v>0.14212726428239669</v>
      </c>
      <c r="J10" s="4">
        <v>0.99974993748437113</v>
      </c>
    </row>
    <row r="12" spans="1:10" x14ac:dyDescent="0.25">
      <c r="A12" s="7"/>
    </row>
    <row r="18" spans="1:1" ht="18.75" x14ac:dyDescent="0.3">
      <c r="A18" s="8"/>
    </row>
  </sheetData>
  <mergeCells count="2">
    <mergeCell ref="C3:F3"/>
    <mergeCell ref="G3:J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48BB-BE92-4C05-AD88-5667BEA8EBB3}">
  <dimension ref="A1:O16"/>
  <sheetViews>
    <sheetView topLeftCell="A13" workbookViewId="0">
      <selection activeCell="B25" sqref="B25"/>
    </sheetView>
  </sheetViews>
  <sheetFormatPr defaultRowHeight="15" x14ac:dyDescent="0.25"/>
  <cols>
    <col min="1" max="1" width="29.42578125" customWidth="1"/>
    <col min="2" max="2" width="61" customWidth="1"/>
    <col min="3" max="3" width="9.42578125" customWidth="1"/>
    <col min="4" max="4" width="11.140625" customWidth="1"/>
    <col min="9" max="9" width="12.28515625" customWidth="1"/>
  </cols>
  <sheetData>
    <row r="1" spans="1:15" ht="18.75" x14ac:dyDescent="0.3">
      <c r="A1" s="8" t="s">
        <v>783</v>
      </c>
    </row>
    <row r="3" spans="1:15" ht="15.75" x14ac:dyDescent="0.25">
      <c r="D3" s="26" t="s">
        <v>782</v>
      </c>
      <c r="E3" s="26"/>
      <c r="F3" s="26"/>
      <c r="G3" s="26"/>
      <c r="H3" s="26"/>
      <c r="I3" s="26"/>
      <c r="J3" s="26" t="s">
        <v>781</v>
      </c>
      <c r="K3" s="26"/>
      <c r="L3" s="26"/>
      <c r="M3" s="26"/>
      <c r="N3" s="26"/>
      <c r="O3" s="26"/>
    </row>
    <row r="4" spans="1:15" ht="45" x14ac:dyDescent="0.25">
      <c r="A4" s="3" t="s">
        <v>723</v>
      </c>
      <c r="B4" s="3" t="s">
        <v>724</v>
      </c>
      <c r="C4" s="3" t="s">
        <v>725</v>
      </c>
      <c r="D4" s="5" t="s">
        <v>732</v>
      </c>
      <c r="E4" s="5" t="s">
        <v>726</v>
      </c>
      <c r="F4" s="5" t="s">
        <v>727</v>
      </c>
      <c r="G4" s="5" t="s">
        <v>719</v>
      </c>
      <c r="H4" s="5" t="s">
        <v>720</v>
      </c>
      <c r="I4" s="5" t="s">
        <v>728</v>
      </c>
      <c r="J4" s="5" t="s">
        <v>732</v>
      </c>
      <c r="K4" s="5" t="s">
        <v>726</v>
      </c>
      <c r="L4" s="5" t="s">
        <v>727</v>
      </c>
      <c r="M4" s="5" t="s">
        <v>719</v>
      </c>
      <c r="N4" s="5" t="s">
        <v>720</v>
      </c>
      <c r="O4" s="5" t="s">
        <v>728</v>
      </c>
    </row>
    <row r="5" spans="1:15" x14ac:dyDescent="0.25">
      <c r="A5" s="33" t="s">
        <v>9</v>
      </c>
      <c r="B5" s="33" t="s">
        <v>729</v>
      </c>
      <c r="C5" s="4" t="s">
        <v>697</v>
      </c>
      <c r="D5" s="5">
        <v>5</v>
      </c>
      <c r="E5" s="5">
        <v>1.9109</v>
      </c>
      <c r="F5" s="5">
        <v>0.12983</v>
      </c>
      <c r="G5" s="5">
        <v>2.9165000000000001</v>
      </c>
      <c r="H5" s="5">
        <v>1E-3</v>
      </c>
      <c r="I5" s="5" t="s">
        <v>706</v>
      </c>
      <c r="J5" s="10">
        <v>5</v>
      </c>
      <c r="K5" s="10">
        <v>2.6536</v>
      </c>
      <c r="L5" s="10">
        <v>0.24027999999999999</v>
      </c>
      <c r="M5" s="10">
        <v>1.8501000000000001</v>
      </c>
      <c r="N5" s="10">
        <v>2E-3</v>
      </c>
      <c r="O5" s="10" t="s">
        <v>716</v>
      </c>
    </row>
    <row r="6" spans="1:15" x14ac:dyDescent="0.25">
      <c r="A6" s="34"/>
      <c r="B6" s="35"/>
      <c r="C6" s="4" t="s">
        <v>682</v>
      </c>
      <c r="D6" s="5">
        <v>8</v>
      </c>
      <c r="E6" s="5">
        <v>1.6691</v>
      </c>
      <c r="F6" s="5">
        <v>0.1134</v>
      </c>
      <c r="G6" s="5">
        <v>1.5921000000000001</v>
      </c>
      <c r="H6" s="5">
        <v>1.2E-2</v>
      </c>
      <c r="I6" s="5" t="s">
        <v>707</v>
      </c>
      <c r="J6" s="10">
        <v>6</v>
      </c>
      <c r="K6" s="10">
        <v>3.2263999999999999</v>
      </c>
      <c r="L6" s="10">
        <v>0.29215000000000002</v>
      </c>
      <c r="M6" s="10">
        <v>1.8745000000000001</v>
      </c>
      <c r="N6" s="10">
        <v>2E-3</v>
      </c>
      <c r="O6" s="10" t="s">
        <v>716</v>
      </c>
    </row>
    <row r="7" spans="1:15" x14ac:dyDescent="0.25">
      <c r="A7" s="34"/>
      <c r="B7" s="33" t="s">
        <v>730</v>
      </c>
      <c r="C7" s="4" t="s">
        <v>697</v>
      </c>
      <c r="D7" s="5">
        <v>5</v>
      </c>
      <c r="E7" s="5">
        <v>2.6215999999999999</v>
      </c>
      <c r="F7" s="5">
        <v>0.11101999999999999</v>
      </c>
      <c r="G7" s="5">
        <v>2.4043000000000001</v>
      </c>
      <c r="H7" s="5">
        <v>1E-3</v>
      </c>
      <c r="I7" s="5" t="s">
        <v>706</v>
      </c>
      <c r="J7" s="10">
        <v>5</v>
      </c>
      <c r="K7" s="10">
        <v>2.6692</v>
      </c>
      <c r="L7" s="10">
        <v>0.21682999999999999</v>
      </c>
      <c r="M7" s="10">
        <v>1.5186999999999999</v>
      </c>
      <c r="N7" s="10">
        <v>3.0000000000000001E-3</v>
      </c>
      <c r="O7" s="10" t="s">
        <v>716</v>
      </c>
    </row>
    <row r="8" spans="1:15" x14ac:dyDescent="0.25">
      <c r="A8" s="35"/>
      <c r="B8" s="35"/>
      <c r="C8" s="4" t="s">
        <v>682</v>
      </c>
      <c r="D8" s="5">
        <v>8</v>
      </c>
      <c r="E8" s="5">
        <v>2.4561000000000002</v>
      </c>
      <c r="F8" s="5">
        <v>0.10401000000000001</v>
      </c>
      <c r="G8" s="5">
        <v>1.4077999999999999</v>
      </c>
      <c r="H8" s="5">
        <v>3.0000000000000001E-3</v>
      </c>
      <c r="I8" s="5" t="s">
        <v>716</v>
      </c>
      <c r="J8" s="10">
        <v>6</v>
      </c>
      <c r="K8" s="10">
        <v>3.3134000000000001</v>
      </c>
      <c r="L8" s="10">
        <v>0.26917000000000002</v>
      </c>
      <c r="M8" s="10">
        <v>1.5710999999999999</v>
      </c>
      <c r="N8" s="10">
        <v>1E-3</v>
      </c>
      <c r="O8" s="10" t="s">
        <v>706</v>
      </c>
    </row>
    <row r="9" spans="1:15" x14ac:dyDescent="0.25">
      <c r="A9" s="33" t="s">
        <v>11</v>
      </c>
      <c r="B9" s="33" t="s">
        <v>729</v>
      </c>
      <c r="C9" s="4" t="s">
        <v>697</v>
      </c>
      <c r="D9" s="5">
        <v>3</v>
      </c>
      <c r="E9" s="5">
        <v>0.70179999999999998</v>
      </c>
      <c r="F9" s="5">
        <v>0.10006</v>
      </c>
      <c r="G9" s="5">
        <v>2.2654000000000001</v>
      </c>
      <c r="H9" s="5">
        <v>7.0000000000000001E-3</v>
      </c>
      <c r="I9" s="5" t="s">
        <v>716</v>
      </c>
      <c r="J9" s="10">
        <v>3</v>
      </c>
      <c r="K9" s="10">
        <v>2.1789999999999998</v>
      </c>
      <c r="L9" s="10">
        <v>0.22888</v>
      </c>
      <c r="M9" s="10">
        <v>3.5487000000000002</v>
      </c>
      <c r="N9" s="10">
        <v>1E-3</v>
      </c>
      <c r="O9" s="10" t="s">
        <v>706</v>
      </c>
    </row>
    <row r="10" spans="1:15" x14ac:dyDescent="0.25">
      <c r="A10" s="34"/>
      <c r="B10" s="35"/>
      <c r="C10" s="4" t="s">
        <v>682</v>
      </c>
      <c r="D10" s="5">
        <v>7</v>
      </c>
      <c r="E10" s="5">
        <v>1.6653</v>
      </c>
      <c r="F10" s="5">
        <v>0.23741999999999999</v>
      </c>
      <c r="G10" s="5">
        <v>2.3037999999999998</v>
      </c>
      <c r="H10" s="5">
        <v>1E-3</v>
      </c>
      <c r="I10" s="5" t="s">
        <v>706</v>
      </c>
      <c r="J10" s="10">
        <v>6</v>
      </c>
      <c r="K10" s="10">
        <v>3.6572</v>
      </c>
      <c r="L10" s="10">
        <v>0.38413999999999998</v>
      </c>
      <c r="M10" s="10">
        <v>2.9780000000000002</v>
      </c>
      <c r="N10" s="10">
        <v>1E-3</v>
      </c>
      <c r="O10" s="10" t="s">
        <v>706</v>
      </c>
    </row>
    <row r="11" spans="1:15" x14ac:dyDescent="0.25">
      <c r="A11" s="34"/>
      <c r="B11" s="33" t="s">
        <v>730</v>
      </c>
      <c r="C11" s="4" t="s">
        <v>697</v>
      </c>
      <c r="D11" s="5">
        <v>3</v>
      </c>
      <c r="E11" s="5">
        <v>1.1032</v>
      </c>
      <c r="F11" s="5">
        <v>9.3350000000000002E-2</v>
      </c>
      <c r="G11" s="5">
        <v>2.0265</v>
      </c>
      <c r="H11" s="5">
        <v>3.0000000000000001E-3</v>
      </c>
      <c r="I11" s="5" t="s">
        <v>716</v>
      </c>
      <c r="J11" s="10">
        <v>3</v>
      </c>
      <c r="K11" s="10">
        <v>2.0421</v>
      </c>
      <c r="L11" s="10">
        <v>0.18475</v>
      </c>
      <c r="M11" s="10">
        <v>2.2974000000000001</v>
      </c>
      <c r="N11" s="10">
        <v>1E-3</v>
      </c>
      <c r="O11" s="10" t="s">
        <v>706</v>
      </c>
    </row>
    <row r="12" spans="1:15" x14ac:dyDescent="0.25">
      <c r="A12" s="35"/>
      <c r="B12" s="35"/>
      <c r="C12" s="4" t="s">
        <v>682</v>
      </c>
      <c r="D12" s="5">
        <v>7</v>
      </c>
      <c r="E12" s="5">
        <v>2.5489000000000002</v>
      </c>
      <c r="F12" s="5">
        <v>0.21568999999999999</v>
      </c>
      <c r="G12" s="5">
        <v>2.0066999999999999</v>
      </c>
      <c r="H12" s="5">
        <v>1E-3</v>
      </c>
      <c r="I12" s="5" t="s">
        <v>706</v>
      </c>
      <c r="J12" s="10">
        <v>6</v>
      </c>
      <c r="K12" s="10">
        <v>3.6777000000000002</v>
      </c>
      <c r="L12" s="10">
        <v>0.33273000000000003</v>
      </c>
      <c r="M12" s="10">
        <v>2.0687000000000002</v>
      </c>
      <c r="N12" s="10">
        <v>1E-3</v>
      </c>
      <c r="O12" s="10" t="s">
        <v>706</v>
      </c>
    </row>
    <row r="13" spans="1:15" x14ac:dyDescent="0.25">
      <c r="A13" s="33" t="s">
        <v>731</v>
      </c>
      <c r="B13" s="33" t="s">
        <v>729</v>
      </c>
      <c r="C13" s="4" t="s">
        <v>697</v>
      </c>
      <c r="D13" s="5">
        <v>1</v>
      </c>
      <c r="E13" s="5">
        <v>0.23449999999999999</v>
      </c>
      <c r="F13" s="5">
        <v>6.9629999999999997E-2</v>
      </c>
      <c r="G13" s="5">
        <v>2.2896000000000001</v>
      </c>
      <c r="H13" s="5">
        <v>6.6000000000000003E-2</v>
      </c>
      <c r="I13" s="5" t="s">
        <v>717</v>
      </c>
      <c r="J13" s="10">
        <v>1</v>
      </c>
      <c r="K13" s="10">
        <v>1.3646</v>
      </c>
      <c r="L13" s="10">
        <v>0.23288</v>
      </c>
      <c r="M13" s="10">
        <v>7.7271000000000001</v>
      </c>
      <c r="N13" s="10">
        <v>1E-3</v>
      </c>
      <c r="O13" s="10" t="s">
        <v>706</v>
      </c>
    </row>
    <row r="14" spans="1:15" x14ac:dyDescent="0.25">
      <c r="A14" s="34"/>
      <c r="B14" s="35"/>
      <c r="C14" s="4" t="s">
        <v>682</v>
      </c>
      <c r="D14" s="5">
        <v>7</v>
      </c>
      <c r="E14" s="5">
        <v>1.1874</v>
      </c>
      <c r="F14" s="5">
        <v>0.35253000000000001</v>
      </c>
      <c r="G14" s="5">
        <v>1.6559999999999999</v>
      </c>
      <c r="H14" s="5">
        <v>3.6999999999999998E-2</v>
      </c>
      <c r="I14" s="5" t="s">
        <v>707</v>
      </c>
      <c r="J14" s="10">
        <v>6</v>
      </c>
      <c r="K14" s="10">
        <v>2.5524</v>
      </c>
      <c r="L14" s="10">
        <v>0.43558999999999998</v>
      </c>
      <c r="M14" s="10">
        <v>2.4089</v>
      </c>
      <c r="N14" s="10">
        <v>1E-3</v>
      </c>
      <c r="O14" s="10" t="s">
        <v>706</v>
      </c>
    </row>
    <row r="15" spans="1:15" x14ac:dyDescent="0.25">
      <c r="A15" s="34"/>
      <c r="B15" s="33" t="s">
        <v>730</v>
      </c>
      <c r="C15" s="4" t="s">
        <v>697</v>
      </c>
      <c r="D15" s="5">
        <v>1</v>
      </c>
      <c r="E15" s="5">
        <v>0.38850000000000001</v>
      </c>
      <c r="F15" s="5">
        <v>6.9019999999999998E-2</v>
      </c>
      <c r="G15" s="5">
        <v>2.1572</v>
      </c>
      <c r="H15" s="5">
        <v>3.3000000000000002E-2</v>
      </c>
      <c r="I15" s="5" t="s">
        <v>707</v>
      </c>
      <c r="J15" s="10">
        <v>1</v>
      </c>
      <c r="K15" s="10">
        <v>1.2042999999999999</v>
      </c>
      <c r="L15" s="10">
        <v>0.17177999999999999</v>
      </c>
      <c r="M15" s="10">
        <v>4.4067999999999996</v>
      </c>
      <c r="N15" s="10">
        <v>1E-3</v>
      </c>
      <c r="O15" s="10" t="s">
        <v>706</v>
      </c>
    </row>
    <row r="16" spans="1:15" x14ac:dyDescent="0.25">
      <c r="A16" s="35"/>
      <c r="B16" s="35"/>
      <c r="C16" s="4" t="s">
        <v>682</v>
      </c>
      <c r="D16" s="5">
        <v>7</v>
      </c>
      <c r="E16" s="5">
        <v>1.8184</v>
      </c>
      <c r="F16" s="5">
        <v>0.32303999999999999</v>
      </c>
      <c r="G16" s="5">
        <v>1.4422999999999999</v>
      </c>
      <c r="H16" s="5">
        <v>4.4999999999999998E-2</v>
      </c>
      <c r="I16" s="5" t="s">
        <v>707</v>
      </c>
      <c r="J16" s="10">
        <v>6</v>
      </c>
      <c r="K16" s="10">
        <v>2.8001999999999998</v>
      </c>
      <c r="L16" s="10">
        <v>0.39942</v>
      </c>
      <c r="M16" s="10">
        <v>1.7078</v>
      </c>
      <c r="N16" s="10">
        <v>1E-3</v>
      </c>
      <c r="O16" s="10" t="s">
        <v>706</v>
      </c>
    </row>
  </sheetData>
  <mergeCells count="11">
    <mergeCell ref="D3:I3"/>
    <mergeCell ref="J3:O3"/>
    <mergeCell ref="A5:A8"/>
    <mergeCell ref="A9:A12"/>
    <mergeCell ref="A13:A16"/>
    <mergeCell ref="B5:B6"/>
    <mergeCell ref="B7:B8"/>
    <mergeCell ref="B9:B10"/>
    <mergeCell ref="B11:B12"/>
    <mergeCell ref="B13:B14"/>
    <mergeCell ref="B15:B16"/>
  </mergeCell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C93F-8D7A-4D69-824A-F4141D6D304D}">
  <dimension ref="A1:X81"/>
  <sheetViews>
    <sheetView topLeftCell="A58" workbookViewId="0">
      <selection activeCell="I70" sqref="I70"/>
    </sheetView>
  </sheetViews>
  <sheetFormatPr defaultRowHeight="15" x14ac:dyDescent="0.25"/>
  <cols>
    <col min="1" max="1" width="13.28515625" customWidth="1"/>
    <col min="6" max="6" width="12.85546875" customWidth="1"/>
    <col min="7" max="7" width="13.85546875" customWidth="1"/>
    <col min="12" max="12" width="13.140625" customWidth="1"/>
    <col min="13" max="13" width="14" customWidth="1"/>
    <col min="19" max="19" width="13.28515625" customWidth="1"/>
  </cols>
  <sheetData>
    <row r="1" spans="1:24" ht="18.75" x14ac:dyDescent="0.3">
      <c r="A1" s="8" t="s">
        <v>788</v>
      </c>
    </row>
    <row r="2" spans="1:24" ht="18.75" x14ac:dyDescent="0.3">
      <c r="A2" s="8"/>
    </row>
    <row r="3" spans="1:24" x14ac:dyDescent="0.25">
      <c r="A3" s="36" t="s">
        <v>782</v>
      </c>
      <c r="B3" s="37"/>
      <c r="C3" s="37"/>
      <c r="D3" s="37"/>
      <c r="E3" s="37"/>
      <c r="F3" s="37"/>
      <c r="G3" s="37"/>
      <c r="H3" s="37"/>
      <c r="I3" s="37"/>
      <c r="J3" s="37"/>
      <c r="K3" s="37"/>
      <c r="L3" s="38"/>
      <c r="M3" s="36" t="s">
        <v>781</v>
      </c>
      <c r="N3" s="37"/>
      <c r="O3" s="37"/>
      <c r="P3" s="37"/>
      <c r="Q3" s="37"/>
      <c r="R3" s="37"/>
      <c r="S3" s="37"/>
      <c r="T3" s="37"/>
      <c r="U3" s="37"/>
      <c r="V3" s="37"/>
      <c r="W3" s="37"/>
      <c r="X3" s="38"/>
    </row>
    <row r="4" spans="1:24" ht="30" customHeight="1" x14ac:dyDescent="0.25">
      <c r="A4" s="39" t="s">
        <v>744</v>
      </c>
      <c r="B4" s="40"/>
      <c r="C4" s="40"/>
      <c r="D4" s="40"/>
      <c r="E4" s="40"/>
      <c r="F4" s="41"/>
      <c r="G4" s="39" t="s">
        <v>753</v>
      </c>
      <c r="H4" s="40"/>
      <c r="I4" s="40"/>
      <c r="J4" s="40"/>
      <c r="K4" s="40"/>
      <c r="L4" s="41"/>
      <c r="M4" s="39" t="s">
        <v>744</v>
      </c>
      <c r="N4" s="40"/>
      <c r="O4" s="40"/>
      <c r="P4" s="40"/>
      <c r="Q4" s="40"/>
      <c r="R4" s="41"/>
      <c r="S4" s="39" t="s">
        <v>753</v>
      </c>
      <c r="T4" s="40"/>
      <c r="U4" s="40"/>
      <c r="V4" s="40"/>
      <c r="W4" s="40"/>
      <c r="X4" s="41"/>
    </row>
    <row r="5" spans="1:24" ht="30" customHeight="1" x14ac:dyDescent="0.25">
      <c r="A5" s="9" t="s">
        <v>746</v>
      </c>
      <c r="B5" s="4" t="s">
        <v>718</v>
      </c>
      <c r="C5" s="4" t="s">
        <v>736</v>
      </c>
      <c r="D5" s="4" t="s">
        <v>719</v>
      </c>
      <c r="E5" s="5" t="s">
        <v>720</v>
      </c>
      <c r="F5" s="5" t="s">
        <v>728</v>
      </c>
      <c r="G5" s="9" t="s">
        <v>746</v>
      </c>
      <c r="H5" s="4" t="s">
        <v>718</v>
      </c>
      <c r="I5" s="4" t="s">
        <v>736</v>
      </c>
      <c r="J5" s="4" t="s">
        <v>719</v>
      </c>
      <c r="K5" s="5" t="s">
        <v>720</v>
      </c>
      <c r="L5" s="5" t="s">
        <v>728</v>
      </c>
      <c r="M5" s="9" t="s">
        <v>746</v>
      </c>
      <c r="N5" s="4" t="s">
        <v>718</v>
      </c>
      <c r="O5" s="4" t="s">
        <v>736</v>
      </c>
      <c r="P5" s="4" t="s">
        <v>719</v>
      </c>
      <c r="Q5" s="5" t="s">
        <v>720</v>
      </c>
      <c r="R5" s="5" t="s">
        <v>728</v>
      </c>
      <c r="S5" s="9" t="s">
        <v>746</v>
      </c>
      <c r="T5" s="4" t="s">
        <v>718</v>
      </c>
      <c r="U5" s="4" t="s">
        <v>736</v>
      </c>
      <c r="V5" s="4" t="s">
        <v>719</v>
      </c>
      <c r="W5" s="5" t="s">
        <v>720</v>
      </c>
      <c r="X5" s="5" t="s">
        <v>728</v>
      </c>
    </row>
    <row r="6" spans="1:24" x14ac:dyDescent="0.25">
      <c r="A6" s="4" t="s">
        <v>751</v>
      </c>
      <c r="B6" s="4">
        <v>3</v>
      </c>
      <c r="C6" s="4">
        <v>2.1059999999999999</v>
      </c>
      <c r="D6" s="4">
        <v>2.6797</v>
      </c>
      <c r="E6" s="5">
        <v>1E-3</v>
      </c>
      <c r="F6" s="5" t="s">
        <v>706</v>
      </c>
      <c r="G6" s="4" t="s">
        <v>751</v>
      </c>
      <c r="H6" s="4">
        <v>3</v>
      </c>
      <c r="I6" s="4">
        <v>2.2000000000000002</v>
      </c>
      <c r="J6" s="4">
        <v>3.1564000000000001</v>
      </c>
      <c r="K6" s="5">
        <v>1E-3</v>
      </c>
      <c r="L6" s="5" t="s">
        <v>706</v>
      </c>
      <c r="M6" s="4" t="s">
        <v>751</v>
      </c>
      <c r="N6" s="4">
        <v>3</v>
      </c>
      <c r="O6" s="4">
        <v>3.4550000000000001</v>
      </c>
      <c r="P6" s="4">
        <v>2.5750999999999999</v>
      </c>
      <c r="Q6" s="5">
        <v>1E-3</v>
      </c>
      <c r="R6" s="5" t="s">
        <v>706</v>
      </c>
      <c r="S6" s="4" t="s">
        <v>751</v>
      </c>
      <c r="T6" s="4">
        <v>3</v>
      </c>
      <c r="U6" s="4">
        <v>2.6919</v>
      </c>
      <c r="V6" s="4">
        <v>2.1857000000000002</v>
      </c>
      <c r="W6" s="5">
        <v>1E-3</v>
      </c>
      <c r="X6" s="5" t="s">
        <v>706</v>
      </c>
    </row>
    <row r="7" spans="1:24" x14ac:dyDescent="0.25">
      <c r="A7" s="4" t="s">
        <v>721</v>
      </c>
      <c r="B7" s="4">
        <v>179</v>
      </c>
      <c r="C7" s="4">
        <v>46.892000000000003</v>
      </c>
      <c r="D7" s="4"/>
      <c r="E7" s="4"/>
      <c r="F7" s="4"/>
      <c r="G7" s="4" t="s">
        <v>721</v>
      </c>
      <c r="H7" s="4">
        <v>179</v>
      </c>
      <c r="I7" s="4">
        <v>41.85</v>
      </c>
      <c r="J7" s="4"/>
      <c r="K7" s="4"/>
      <c r="L7" s="4"/>
      <c r="M7" s="4" t="s">
        <v>721</v>
      </c>
      <c r="N7" s="4">
        <v>73</v>
      </c>
      <c r="O7" s="4">
        <v>32.649000000000001</v>
      </c>
      <c r="P7" s="4"/>
      <c r="Q7" s="4"/>
      <c r="R7" s="4"/>
      <c r="S7" s="4" t="s">
        <v>721</v>
      </c>
      <c r="T7" s="4">
        <v>73</v>
      </c>
      <c r="U7" s="4">
        <v>29.968900000000001</v>
      </c>
      <c r="V7" s="4"/>
      <c r="W7" s="4"/>
      <c r="X7" s="4"/>
    </row>
    <row r="8" spans="1:24" x14ac:dyDescent="0.25">
      <c r="A8" s="4" t="s">
        <v>722</v>
      </c>
      <c r="B8" s="4">
        <f>SUM(B6:B7)</f>
        <v>182</v>
      </c>
      <c r="C8" s="4">
        <f>SUM(C6:C7)</f>
        <v>48.998000000000005</v>
      </c>
      <c r="D8" s="4"/>
      <c r="E8" s="4"/>
      <c r="F8" s="4"/>
      <c r="G8" s="4" t="s">
        <v>722</v>
      </c>
      <c r="H8" s="4">
        <v>182</v>
      </c>
      <c r="I8" s="4">
        <f>SUM(I6:I7)</f>
        <v>44.050000000000004</v>
      </c>
      <c r="J8" s="4"/>
      <c r="K8" s="4"/>
      <c r="L8" s="4"/>
      <c r="M8" s="4" t="s">
        <v>722</v>
      </c>
      <c r="N8" s="4">
        <f>SUM(N6:N7)</f>
        <v>76</v>
      </c>
      <c r="O8" s="4">
        <f>SUM(O6:O7)</f>
        <v>36.103999999999999</v>
      </c>
      <c r="P8" s="4"/>
      <c r="Q8" s="4"/>
      <c r="R8" s="4"/>
      <c r="S8" s="4" t="s">
        <v>722</v>
      </c>
      <c r="T8" s="4">
        <v>76</v>
      </c>
      <c r="U8" s="4">
        <f>SUM(U6:U7)</f>
        <v>32.660800000000002</v>
      </c>
      <c r="V8" s="4"/>
      <c r="W8" s="4"/>
      <c r="X8" s="4"/>
    </row>
    <row r="9" spans="1:24" x14ac:dyDescent="0.25">
      <c r="A9" s="15"/>
      <c r="B9" s="15"/>
      <c r="C9" s="15"/>
      <c r="D9" s="15"/>
      <c r="E9" s="15"/>
      <c r="F9" s="15"/>
    </row>
    <row r="10" spans="1:24" x14ac:dyDescent="0.25">
      <c r="A10" s="15"/>
      <c r="B10" s="15"/>
      <c r="C10" s="15"/>
      <c r="D10" s="15"/>
      <c r="E10" s="15"/>
      <c r="F10" s="15"/>
    </row>
    <row r="11" spans="1:24" x14ac:dyDescent="0.25">
      <c r="A11" s="15"/>
      <c r="B11" s="15"/>
      <c r="C11" s="15"/>
      <c r="D11" s="15"/>
      <c r="E11" s="15"/>
      <c r="F11" s="15"/>
    </row>
    <row r="12" spans="1:24" x14ac:dyDescent="0.25">
      <c r="A12" s="15"/>
      <c r="B12" s="15"/>
      <c r="C12" s="15"/>
      <c r="D12" s="15"/>
      <c r="E12" s="15"/>
      <c r="F12" s="15"/>
    </row>
    <row r="13" spans="1:24" x14ac:dyDescent="0.25">
      <c r="A13" s="15"/>
      <c r="B13" s="15"/>
      <c r="C13" s="15"/>
      <c r="D13" s="15"/>
      <c r="E13" s="15"/>
      <c r="F13" s="15"/>
    </row>
    <row r="14" spans="1:24" x14ac:dyDescent="0.25">
      <c r="A14" s="15"/>
      <c r="B14" s="15"/>
      <c r="C14" s="15"/>
      <c r="D14" s="15"/>
      <c r="E14" s="15"/>
      <c r="F14" s="15"/>
    </row>
    <row r="15" spans="1:24" x14ac:dyDescent="0.25">
      <c r="A15" s="15"/>
      <c r="B15" s="15"/>
      <c r="C15" s="15"/>
      <c r="D15" s="15"/>
      <c r="E15" s="15"/>
      <c r="F15" s="15"/>
    </row>
    <row r="16" spans="1:24" x14ac:dyDescent="0.25">
      <c r="A16" s="15"/>
      <c r="B16" s="15"/>
      <c r="C16" s="15"/>
      <c r="D16" s="15"/>
      <c r="E16" s="15"/>
      <c r="F16" s="15"/>
    </row>
    <row r="17" spans="1:24" x14ac:dyDescent="0.25">
      <c r="A17" s="15"/>
      <c r="B17" s="15"/>
      <c r="C17" s="15"/>
      <c r="D17" s="15"/>
      <c r="E17" s="15"/>
      <c r="F17" s="15"/>
    </row>
    <row r="18" spans="1:24" x14ac:dyDescent="0.25">
      <c r="A18" s="15"/>
      <c r="B18" s="15"/>
      <c r="C18" s="15"/>
      <c r="D18" s="15"/>
      <c r="E18" s="15"/>
      <c r="F18" s="15"/>
    </row>
    <row r="19" spans="1:24" x14ac:dyDescent="0.25">
      <c r="A19" s="15"/>
      <c r="B19" s="15"/>
      <c r="C19" s="15"/>
      <c r="D19" s="15"/>
      <c r="E19" s="15"/>
      <c r="F19" s="15"/>
    </row>
    <row r="20" spans="1:24" x14ac:dyDescent="0.25">
      <c r="A20" s="15"/>
      <c r="B20" s="15"/>
      <c r="C20" s="15"/>
      <c r="D20" s="15"/>
      <c r="E20" s="15"/>
      <c r="F20" s="15"/>
    </row>
    <row r="21" spans="1:24" x14ac:dyDescent="0.25">
      <c r="A21" s="15"/>
      <c r="B21" s="15"/>
      <c r="C21" s="15"/>
      <c r="D21" s="15"/>
      <c r="E21" s="15"/>
      <c r="F21" s="15"/>
    </row>
    <row r="22" spans="1:24" x14ac:dyDescent="0.25">
      <c r="A22" s="15"/>
      <c r="B22" s="15"/>
      <c r="C22" s="15"/>
      <c r="D22" s="15"/>
      <c r="E22" s="15"/>
      <c r="F22" s="15"/>
    </row>
    <row r="23" spans="1:24" x14ac:dyDescent="0.25">
      <c r="A23" s="15"/>
      <c r="B23" s="15"/>
      <c r="C23" s="15"/>
      <c r="D23" s="15"/>
      <c r="E23" s="15"/>
      <c r="F23" s="15"/>
    </row>
    <row r="25" spans="1:24" ht="18.75" x14ac:dyDescent="0.3">
      <c r="A25" s="8" t="s">
        <v>789</v>
      </c>
    </row>
    <row r="26" spans="1:24" ht="18.75" x14ac:dyDescent="0.3">
      <c r="A26" s="8"/>
    </row>
    <row r="27" spans="1:24" x14ac:dyDescent="0.25">
      <c r="A27" s="36" t="s">
        <v>782</v>
      </c>
      <c r="B27" s="37"/>
      <c r="C27" s="37"/>
      <c r="D27" s="37"/>
      <c r="E27" s="37"/>
      <c r="F27" s="37"/>
      <c r="G27" s="37"/>
      <c r="H27" s="37"/>
      <c r="I27" s="37"/>
      <c r="J27" s="37"/>
      <c r="K27" s="37"/>
      <c r="L27" s="38"/>
      <c r="M27" s="36" t="s">
        <v>781</v>
      </c>
      <c r="N27" s="37"/>
      <c r="O27" s="37"/>
      <c r="P27" s="37"/>
      <c r="Q27" s="37"/>
      <c r="R27" s="37"/>
      <c r="S27" s="37"/>
      <c r="T27" s="37"/>
      <c r="U27" s="37"/>
      <c r="V27" s="37"/>
      <c r="W27" s="37"/>
      <c r="X27" s="38"/>
    </row>
    <row r="28" spans="1:24" ht="30" customHeight="1" x14ac:dyDescent="0.25">
      <c r="A28" s="30" t="s">
        <v>744</v>
      </c>
      <c r="B28" s="31"/>
      <c r="C28" s="31"/>
      <c r="D28" s="31"/>
      <c r="E28" s="31"/>
      <c r="F28" s="32"/>
      <c r="G28" s="30" t="s">
        <v>753</v>
      </c>
      <c r="H28" s="31"/>
      <c r="I28" s="31"/>
      <c r="J28" s="31"/>
      <c r="K28" s="31"/>
      <c r="L28" s="32"/>
      <c r="M28" s="30" t="s">
        <v>744</v>
      </c>
      <c r="N28" s="31"/>
      <c r="O28" s="31"/>
      <c r="P28" s="31"/>
      <c r="Q28" s="31"/>
      <c r="R28" s="32"/>
      <c r="S28" s="30" t="s">
        <v>753</v>
      </c>
      <c r="T28" s="31"/>
      <c r="U28" s="31"/>
      <c r="V28" s="31"/>
      <c r="W28" s="31"/>
      <c r="X28" s="32"/>
    </row>
    <row r="29" spans="1:24" ht="30" customHeight="1" x14ac:dyDescent="0.25">
      <c r="A29" s="9" t="s">
        <v>746</v>
      </c>
      <c r="B29" s="4" t="s">
        <v>718</v>
      </c>
      <c r="C29" s="4" t="s">
        <v>736</v>
      </c>
      <c r="D29" s="4" t="s">
        <v>719</v>
      </c>
      <c r="E29" s="5" t="s">
        <v>720</v>
      </c>
      <c r="F29" s="5" t="s">
        <v>728</v>
      </c>
      <c r="G29" s="9" t="s">
        <v>746</v>
      </c>
      <c r="H29" s="4" t="s">
        <v>718</v>
      </c>
      <c r="I29" s="4" t="s">
        <v>736</v>
      </c>
      <c r="J29" s="4" t="s">
        <v>719</v>
      </c>
      <c r="K29" s="5" t="s">
        <v>720</v>
      </c>
      <c r="L29" s="5" t="s">
        <v>728</v>
      </c>
      <c r="M29" s="9" t="s">
        <v>746</v>
      </c>
      <c r="N29" s="4" t="s">
        <v>718</v>
      </c>
      <c r="O29" s="4" t="s">
        <v>736</v>
      </c>
      <c r="P29" s="4" t="s">
        <v>719</v>
      </c>
      <c r="Q29" s="5" t="s">
        <v>720</v>
      </c>
      <c r="R29" s="5" t="s">
        <v>728</v>
      </c>
      <c r="S29" s="9" t="s">
        <v>746</v>
      </c>
      <c r="T29" s="4" t="s">
        <v>718</v>
      </c>
      <c r="U29" s="4" t="s">
        <v>736</v>
      </c>
      <c r="V29" s="4" t="s">
        <v>719</v>
      </c>
      <c r="W29" s="5" t="s">
        <v>720</v>
      </c>
      <c r="X29" s="5" t="s">
        <v>728</v>
      </c>
    </row>
    <row r="30" spans="1:24" x14ac:dyDescent="0.25">
      <c r="A30" s="4" t="s">
        <v>757</v>
      </c>
      <c r="B30" s="4">
        <v>1</v>
      </c>
      <c r="C30" s="4">
        <v>0.60299999999999998</v>
      </c>
      <c r="D30" s="4">
        <v>2.3007</v>
      </c>
      <c r="E30" s="5">
        <v>4.0000000000000001E-3</v>
      </c>
      <c r="F30" s="5" t="s">
        <v>716</v>
      </c>
      <c r="G30" s="4" t="s">
        <v>757</v>
      </c>
      <c r="H30" s="4">
        <v>1</v>
      </c>
      <c r="I30" s="4">
        <v>0.61099999999999999</v>
      </c>
      <c r="J30" s="4">
        <v>2.6303000000000001</v>
      </c>
      <c r="K30" s="5">
        <v>5.0000000000000001E-3</v>
      </c>
      <c r="L30" s="5" t="s">
        <v>716</v>
      </c>
      <c r="M30" s="4" t="s">
        <v>757</v>
      </c>
      <c r="N30" s="4">
        <v>1</v>
      </c>
      <c r="O30" s="4">
        <v>1.0740000000000001</v>
      </c>
      <c r="P30" s="4">
        <v>2.4016000000000002</v>
      </c>
      <c r="Q30" s="5">
        <v>1E-3</v>
      </c>
      <c r="R30" s="5" t="s">
        <v>706</v>
      </c>
      <c r="S30" s="4" t="s">
        <v>757</v>
      </c>
      <c r="T30" s="4">
        <v>1</v>
      </c>
      <c r="U30" s="4">
        <v>0.81689999999999996</v>
      </c>
      <c r="V30" s="4">
        <v>1.9898</v>
      </c>
      <c r="W30" s="5">
        <v>1E-3</v>
      </c>
      <c r="X30" s="5" t="s">
        <v>706</v>
      </c>
    </row>
    <row r="31" spans="1:24" x14ac:dyDescent="0.25">
      <c r="A31" s="4" t="s">
        <v>699</v>
      </c>
      <c r="B31" s="4">
        <v>1</v>
      </c>
      <c r="C31" s="2">
        <v>0.69599999999999995</v>
      </c>
      <c r="D31" s="2">
        <v>2.6577999999999999</v>
      </c>
      <c r="E31" s="5">
        <v>3.0000000000000001E-3</v>
      </c>
      <c r="F31" s="5" t="s">
        <v>716</v>
      </c>
      <c r="G31" s="4" t="s">
        <v>699</v>
      </c>
      <c r="H31" s="4">
        <v>1</v>
      </c>
      <c r="I31" s="2">
        <v>0.77100000000000002</v>
      </c>
      <c r="J31" s="2">
        <v>3.3182999999999998</v>
      </c>
      <c r="K31" s="5">
        <v>2E-3</v>
      </c>
      <c r="L31" s="5" t="s">
        <v>716</v>
      </c>
      <c r="M31" s="4" t="s">
        <v>699</v>
      </c>
      <c r="N31" s="4">
        <v>1</v>
      </c>
      <c r="O31" s="2">
        <v>1.611</v>
      </c>
      <c r="P31" s="2">
        <v>3.6023999999999998</v>
      </c>
      <c r="Q31" s="5">
        <v>1E-3</v>
      </c>
      <c r="R31" s="5" t="s">
        <v>706</v>
      </c>
      <c r="S31" s="4" t="s">
        <v>699</v>
      </c>
      <c r="T31" s="4">
        <v>1</v>
      </c>
      <c r="U31" s="2">
        <v>1.2056</v>
      </c>
      <c r="V31" s="2">
        <v>2.9365999999999999</v>
      </c>
      <c r="W31" s="5">
        <v>1E-3</v>
      </c>
      <c r="X31" s="5" t="s">
        <v>706</v>
      </c>
    </row>
    <row r="32" spans="1:24" x14ac:dyDescent="0.25">
      <c r="A32" s="4" t="s">
        <v>701</v>
      </c>
      <c r="B32" s="4">
        <v>1</v>
      </c>
      <c r="C32" s="4">
        <v>0.80700000000000005</v>
      </c>
      <c r="D32" s="4">
        <v>3.0808</v>
      </c>
      <c r="E32" s="5">
        <v>1E-3</v>
      </c>
      <c r="F32" s="5" t="s">
        <v>706</v>
      </c>
      <c r="G32" s="4" t="s">
        <v>701</v>
      </c>
      <c r="H32" s="4">
        <v>1</v>
      </c>
      <c r="I32" s="4">
        <v>0.81799999999999995</v>
      </c>
      <c r="J32" s="4">
        <v>3.5207999999999999</v>
      </c>
      <c r="K32" s="5">
        <v>3.0000000000000001E-3</v>
      </c>
      <c r="L32" s="5" t="s">
        <v>716</v>
      </c>
      <c r="M32" s="4" t="s">
        <v>701</v>
      </c>
      <c r="N32" s="4">
        <v>1</v>
      </c>
      <c r="O32" s="4">
        <v>0.77</v>
      </c>
      <c r="P32" s="4">
        <v>1.7212000000000001</v>
      </c>
      <c r="Q32" s="5">
        <v>2.1000000000000001E-2</v>
      </c>
      <c r="R32" s="5" t="s">
        <v>707</v>
      </c>
      <c r="S32" s="4" t="s">
        <v>701</v>
      </c>
      <c r="T32" s="4">
        <v>1</v>
      </c>
      <c r="U32" s="4">
        <v>0.66949999999999998</v>
      </c>
      <c r="V32" s="4">
        <v>1.6308</v>
      </c>
      <c r="W32" s="5">
        <v>1.4999999999999999E-2</v>
      </c>
      <c r="X32" s="5" t="s">
        <v>707</v>
      </c>
    </row>
    <row r="33" spans="1:24" x14ac:dyDescent="0.25">
      <c r="A33" s="4" t="s">
        <v>721</v>
      </c>
      <c r="B33" s="4">
        <v>179</v>
      </c>
      <c r="C33" s="2">
        <v>46.892000000000003</v>
      </c>
      <c r="D33" s="2"/>
      <c r="E33" s="2"/>
      <c r="F33" s="2"/>
      <c r="G33" s="4" t="s">
        <v>721</v>
      </c>
      <c r="H33" s="4">
        <v>179</v>
      </c>
      <c r="I33" s="2">
        <v>41.58</v>
      </c>
      <c r="J33" s="2"/>
      <c r="K33" s="2"/>
      <c r="L33" s="2"/>
      <c r="M33" s="4" t="s">
        <v>721</v>
      </c>
      <c r="N33" s="4">
        <v>73</v>
      </c>
      <c r="O33" s="2">
        <v>32.649000000000001</v>
      </c>
      <c r="P33" s="2"/>
      <c r="Q33" s="2"/>
      <c r="R33" s="2"/>
      <c r="S33" s="4" t="s">
        <v>721</v>
      </c>
      <c r="T33" s="4">
        <v>73</v>
      </c>
      <c r="U33" s="2">
        <v>29.968900000000001</v>
      </c>
      <c r="V33" s="2"/>
      <c r="W33" s="2"/>
      <c r="X33" s="2"/>
    </row>
    <row r="34" spans="1:24" x14ac:dyDescent="0.25">
      <c r="A34" s="4" t="s">
        <v>722</v>
      </c>
      <c r="B34" s="2">
        <f>SUM(B30:B33)</f>
        <v>182</v>
      </c>
      <c r="C34" s="2">
        <f>SUM(C30:C33)</f>
        <v>48.998000000000005</v>
      </c>
      <c r="D34" s="2"/>
      <c r="E34" s="2"/>
      <c r="F34" s="2"/>
      <c r="G34" s="4" t="s">
        <v>722</v>
      </c>
      <c r="H34" s="2">
        <f>SUM(H30:H33)</f>
        <v>182</v>
      </c>
      <c r="I34" s="2">
        <f>SUM(I30:I33)</f>
        <v>43.78</v>
      </c>
      <c r="J34" s="2"/>
      <c r="K34" s="2"/>
      <c r="L34" s="2"/>
      <c r="M34" s="4" t="s">
        <v>722</v>
      </c>
      <c r="N34" s="2">
        <f>SUM(N30:N33)</f>
        <v>76</v>
      </c>
      <c r="O34" s="2">
        <f>SUM(O30:O33)</f>
        <v>36.103999999999999</v>
      </c>
      <c r="P34" s="2"/>
      <c r="Q34" s="2"/>
      <c r="R34" s="2"/>
      <c r="S34" s="4" t="s">
        <v>722</v>
      </c>
      <c r="T34" s="2">
        <f>SUM(T30:T33)</f>
        <v>76</v>
      </c>
      <c r="U34" s="2">
        <f>SUM(U30:U33)</f>
        <v>32.660899999999998</v>
      </c>
      <c r="V34" s="2"/>
      <c r="W34" s="2"/>
      <c r="X34" s="2"/>
    </row>
    <row r="35" spans="1:24" x14ac:dyDescent="0.25">
      <c r="A35" s="15"/>
      <c r="G35" s="15"/>
      <c r="M35" s="15"/>
      <c r="S35" s="15"/>
    </row>
    <row r="36" spans="1:24" x14ac:dyDescent="0.25">
      <c r="A36" s="15"/>
      <c r="G36" s="15"/>
      <c r="M36" s="15"/>
      <c r="S36" s="15"/>
    </row>
    <row r="37" spans="1:24" x14ac:dyDescent="0.25">
      <c r="A37" s="15"/>
      <c r="G37" s="15"/>
      <c r="M37" s="15"/>
      <c r="S37" s="15"/>
    </row>
    <row r="38" spans="1:24" x14ac:dyDescent="0.25">
      <c r="A38" s="15"/>
      <c r="G38" s="15"/>
      <c r="M38" s="15"/>
      <c r="S38" s="15"/>
    </row>
    <row r="39" spans="1:24" x14ac:dyDescent="0.25">
      <c r="A39" s="15"/>
      <c r="G39" s="15"/>
      <c r="M39" s="15"/>
      <c r="S39" s="15"/>
    </row>
    <row r="40" spans="1:24" x14ac:dyDescent="0.25">
      <c r="A40" s="15"/>
      <c r="G40" s="15"/>
      <c r="M40" s="15"/>
      <c r="S40" s="15"/>
    </row>
    <row r="41" spans="1:24" x14ac:dyDescent="0.25">
      <c r="A41" s="15"/>
      <c r="G41" s="15"/>
      <c r="M41" s="15"/>
      <c r="S41" s="15"/>
    </row>
    <row r="42" spans="1:24" x14ac:dyDescent="0.25">
      <c r="A42" s="15"/>
      <c r="G42" s="15"/>
      <c r="M42" s="15"/>
      <c r="S42" s="15"/>
    </row>
    <row r="43" spans="1:24" x14ac:dyDescent="0.25">
      <c r="A43" s="15"/>
      <c r="G43" s="15"/>
      <c r="M43" s="15"/>
      <c r="S43" s="15"/>
    </row>
    <row r="44" spans="1:24" x14ac:dyDescent="0.25">
      <c r="A44" s="15"/>
      <c r="G44" s="15"/>
      <c r="M44" s="15"/>
      <c r="S44" s="15"/>
    </row>
    <row r="45" spans="1:24" x14ac:dyDescent="0.25">
      <c r="A45" s="15"/>
    </row>
    <row r="46" spans="1:24" x14ac:dyDescent="0.25">
      <c r="A46" s="15"/>
    </row>
    <row r="47" spans="1:24" x14ac:dyDescent="0.25">
      <c r="A47" s="15"/>
    </row>
    <row r="48" spans="1:24" x14ac:dyDescent="0.25">
      <c r="A48" s="15"/>
    </row>
    <row r="49" spans="1:24" x14ac:dyDescent="0.25">
      <c r="A49" s="15"/>
    </row>
    <row r="51" spans="1:24" ht="18.75" x14ac:dyDescent="0.3">
      <c r="A51" s="8" t="s">
        <v>790</v>
      </c>
    </row>
    <row r="52" spans="1:24" ht="18.75" x14ac:dyDescent="0.3">
      <c r="A52" s="8"/>
    </row>
    <row r="53" spans="1:24" x14ac:dyDescent="0.25">
      <c r="A53" s="36" t="s">
        <v>782</v>
      </c>
      <c r="B53" s="37"/>
      <c r="C53" s="37"/>
      <c r="D53" s="37"/>
      <c r="E53" s="37"/>
      <c r="F53" s="37"/>
      <c r="G53" s="37"/>
      <c r="H53" s="37"/>
      <c r="I53" s="37"/>
      <c r="J53" s="37"/>
      <c r="K53" s="37"/>
      <c r="L53" s="38"/>
      <c r="M53" s="36" t="s">
        <v>781</v>
      </c>
      <c r="N53" s="37"/>
      <c r="O53" s="37"/>
      <c r="P53" s="37"/>
      <c r="Q53" s="37"/>
      <c r="R53" s="37"/>
      <c r="S53" s="37"/>
      <c r="T53" s="37"/>
      <c r="U53" s="37"/>
      <c r="V53" s="37"/>
      <c r="W53" s="37"/>
      <c r="X53" s="38"/>
    </row>
    <row r="54" spans="1:24" ht="30" customHeight="1" x14ac:dyDescent="0.25">
      <c r="A54" s="30" t="s">
        <v>744</v>
      </c>
      <c r="B54" s="31"/>
      <c r="C54" s="31"/>
      <c r="D54" s="31"/>
      <c r="E54" s="31"/>
      <c r="F54" s="32"/>
      <c r="G54" s="30" t="s">
        <v>753</v>
      </c>
      <c r="H54" s="31"/>
      <c r="I54" s="31"/>
      <c r="J54" s="31"/>
      <c r="K54" s="31"/>
      <c r="L54" s="32"/>
      <c r="M54" s="30" t="s">
        <v>744</v>
      </c>
      <c r="N54" s="31"/>
      <c r="O54" s="31"/>
      <c r="P54" s="31"/>
      <c r="Q54" s="31"/>
      <c r="R54" s="32"/>
      <c r="S54" s="30" t="s">
        <v>753</v>
      </c>
      <c r="T54" s="31"/>
      <c r="U54" s="31"/>
      <c r="V54" s="31"/>
      <c r="W54" s="31"/>
      <c r="X54" s="32"/>
    </row>
    <row r="55" spans="1:24" ht="30" customHeight="1" x14ac:dyDescent="0.25">
      <c r="A55" s="9" t="s">
        <v>746</v>
      </c>
      <c r="B55" s="4" t="s">
        <v>718</v>
      </c>
      <c r="C55" s="4" t="s">
        <v>736</v>
      </c>
      <c r="D55" s="4" t="s">
        <v>719</v>
      </c>
      <c r="E55" s="5" t="s">
        <v>720</v>
      </c>
      <c r="F55" s="5" t="s">
        <v>728</v>
      </c>
      <c r="G55" s="9" t="s">
        <v>746</v>
      </c>
      <c r="H55" s="4" t="s">
        <v>718</v>
      </c>
      <c r="I55" s="4" t="s">
        <v>736</v>
      </c>
      <c r="J55" s="4" t="s">
        <v>719</v>
      </c>
      <c r="K55" s="5" t="s">
        <v>720</v>
      </c>
      <c r="L55" s="5" t="s">
        <v>728</v>
      </c>
      <c r="M55" s="9" t="s">
        <v>746</v>
      </c>
      <c r="N55" s="4" t="s">
        <v>718</v>
      </c>
      <c r="O55" s="4" t="s">
        <v>736</v>
      </c>
      <c r="P55" s="4" t="s">
        <v>719</v>
      </c>
      <c r="Q55" s="5" t="s">
        <v>720</v>
      </c>
      <c r="R55" s="5" t="s">
        <v>728</v>
      </c>
      <c r="S55" s="9" t="s">
        <v>746</v>
      </c>
      <c r="T55" s="4" t="s">
        <v>718</v>
      </c>
      <c r="U55" s="4" t="s">
        <v>736</v>
      </c>
      <c r="V55" s="4" t="s">
        <v>719</v>
      </c>
      <c r="W55" s="5" t="s">
        <v>720</v>
      </c>
      <c r="X55" s="5" t="s">
        <v>728</v>
      </c>
    </row>
    <row r="56" spans="1:24" x14ac:dyDescent="0.25">
      <c r="A56" s="4" t="s">
        <v>758</v>
      </c>
      <c r="B56" s="4">
        <v>1</v>
      </c>
      <c r="C56" s="4">
        <v>1.546</v>
      </c>
      <c r="D56" s="4">
        <v>5.9006999999999996</v>
      </c>
      <c r="E56" s="5">
        <v>1E-3</v>
      </c>
      <c r="F56" s="5" t="s">
        <v>706</v>
      </c>
      <c r="G56" s="4" t="s">
        <v>758</v>
      </c>
      <c r="H56" s="4">
        <v>1</v>
      </c>
      <c r="I56" s="4">
        <v>1.702</v>
      </c>
      <c r="J56" s="4">
        <v>7.3254999999999999</v>
      </c>
      <c r="K56" s="5">
        <v>1E-3</v>
      </c>
      <c r="L56" s="5" t="s">
        <v>706</v>
      </c>
      <c r="M56" s="4" t="s">
        <v>758</v>
      </c>
      <c r="N56" s="4">
        <v>1</v>
      </c>
      <c r="O56" s="4">
        <v>2.3410000000000002</v>
      </c>
      <c r="P56" s="4">
        <v>5.2351000000000001</v>
      </c>
      <c r="Q56" s="5">
        <v>1E-3</v>
      </c>
      <c r="R56" s="5" t="s">
        <v>706</v>
      </c>
      <c r="S56" s="4" t="s">
        <v>758</v>
      </c>
      <c r="T56" s="4">
        <v>1</v>
      </c>
      <c r="U56" s="4">
        <v>1.6946000000000001</v>
      </c>
      <c r="V56" s="4">
        <v>4.1279000000000003</v>
      </c>
      <c r="W56" s="5">
        <v>1E-3</v>
      </c>
      <c r="X56" s="5" t="s">
        <v>706</v>
      </c>
    </row>
    <row r="57" spans="1:24" x14ac:dyDescent="0.25">
      <c r="A57" s="4" t="s">
        <v>759</v>
      </c>
      <c r="B57" s="4">
        <v>1</v>
      </c>
      <c r="C57" s="2">
        <v>0.35399999999999998</v>
      </c>
      <c r="D57" s="2">
        <v>1.3506</v>
      </c>
      <c r="E57" s="5">
        <v>0.30399999999999999</v>
      </c>
      <c r="F57" s="4"/>
      <c r="G57" s="4" t="s">
        <v>759</v>
      </c>
      <c r="H57" s="4">
        <v>1</v>
      </c>
      <c r="I57" s="2">
        <v>0.33200000000000002</v>
      </c>
      <c r="J57" s="2">
        <v>1.4311</v>
      </c>
      <c r="K57" s="5">
        <v>0.315</v>
      </c>
      <c r="L57" s="4"/>
      <c r="M57" s="4" t="s">
        <v>759</v>
      </c>
      <c r="N57" s="4">
        <v>1</v>
      </c>
      <c r="O57" s="2">
        <v>0.80900000000000005</v>
      </c>
      <c r="P57" s="2">
        <v>1.8079000000000001</v>
      </c>
      <c r="Q57" s="5">
        <v>2.5999999999999999E-2</v>
      </c>
      <c r="R57" s="4" t="s">
        <v>707</v>
      </c>
      <c r="S57" s="4" t="s">
        <v>759</v>
      </c>
      <c r="T57" s="4">
        <v>1</v>
      </c>
      <c r="U57" s="2">
        <v>0.69130000000000003</v>
      </c>
      <c r="V57" s="2">
        <v>1.6839</v>
      </c>
      <c r="W57" s="5">
        <v>2.5999999999999999E-2</v>
      </c>
      <c r="X57" s="5" t="s">
        <v>707</v>
      </c>
    </row>
    <row r="58" spans="1:24" x14ac:dyDescent="0.25">
      <c r="A58" s="4" t="s">
        <v>760</v>
      </c>
      <c r="B58" s="4">
        <v>1</v>
      </c>
      <c r="C58" s="4">
        <v>0.20599999999999999</v>
      </c>
      <c r="D58" s="4">
        <v>0.78790000000000004</v>
      </c>
      <c r="E58" s="5">
        <v>0.77100000000000002</v>
      </c>
      <c r="F58" s="5"/>
      <c r="G58" s="4" t="s">
        <v>760</v>
      </c>
      <c r="H58" s="4">
        <v>1</v>
      </c>
      <c r="I58" s="4">
        <v>0.16600000000000001</v>
      </c>
      <c r="J58" s="4">
        <v>0.71260000000000001</v>
      </c>
      <c r="K58" s="5">
        <v>0.79600000000000004</v>
      </c>
      <c r="L58" s="5"/>
      <c r="M58" s="4" t="s">
        <v>760</v>
      </c>
      <c r="N58" s="4">
        <v>1</v>
      </c>
      <c r="O58" s="4">
        <v>0.30499999999999999</v>
      </c>
      <c r="P58" s="4">
        <v>0.68210000000000004</v>
      </c>
      <c r="Q58" s="5">
        <v>0.94499999999999995</v>
      </c>
      <c r="R58" s="5"/>
      <c r="S58" s="4" t="s">
        <v>760</v>
      </c>
      <c r="T58" s="4">
        <v>1</v>
      </c>
      <c r="U58" s="4">
        <v>0.30599999999999999</v>
      </c>
      <c r="V58" s="4">
        <v>0.74539999999999995</v>
      </c>
      <c r="W58" s="5">
        <v>0.92600000000000005</v>
      </c>
      <c r="X58" s="5"/>
    </row>
    <row r="59" spans="1:24" x14ac:dyDescent="0.25">
      <c r="A59" s="4" t="s">
        <v>721</v>
      </c>
      <c r="B59" s="4">
        <v>179</v>
      </c>
      <c r="C59" s="2">
        <v>46.892000000000003</v>
      </c>
      <c r="D59" s="2"/>
      <c r="E59" s="2"/>
      <c r="F59" s="2"/>
      <c r="G59" s="4" t="s">
        <v>721</v>
      </c>
      <c r="H59" s="4">
        <v>179</v>
      </c>
      <c r="I59" s="2">
        <v>41.58</v>
      </c>
      <c r="J59" s="2"/>
      <c r="K59" s="2"/>
      <c r="L59" s="2"/>
      <c r="M59" s="4" t="s">
        <v>721</v>
      </c>
      <c r="N59" s="4">
        <v>73</v>
      </c>
      <c r="O59" s="2">
        <v>32.649000000000001</v>
      </c>
      <c r="P59" s="2"/>
      <c r="Q59" s="2"/>
      <c r="R59" s="2"/>
      <c r="S59" s="4" t="s">
        <v>721</v>
      </c>
      <c r="T59" s="4">
        <v>73</v>
      </c>
      <c r="U59" s="2">
        <v>29.968900000000001</v>
      </c>
      <c r="V59" s="2"/>
      <c r="W59" s="2"/>
      <c r="X59" s="2"/>
    </row>
    <row r="60" spans="1:24" x14ac:dyDescent="0.25">
      <c r="A60" s="4" t="s">
        <v>722</v>
      </c>
      <c r="B60" s="2">
        <f>SUM(B56:B59)</f>
        <v>182</v>
      </c>
      <c r="C60" s="2">
        <f>SUM(C56:C59)</f>
        <v>48.998000000000005</v>
      </c>
      <c r="D60" s="2"/>
      <c r="E60" s="2"/>
      <c r="F60" s="2"/>
      <c r="G60" s="4" t="s">
        <v>722</v>
      </c>
      <c r="H60" s="2">
        <f>SUM(H56:H59)</f>
        <v>182</v>
      </c>
      <c r="I60" s="2">
        <f>SUM(I56:I59)</f>
        <v>43.78</v>
      </c>
      <c r="J60" s="2"/>
      <c r="K60" s="2"/>
      <c r="L60" s="2"/>
      <c r="M60" s="4" t="s">
        <v>722</v>
      </c>
      <c r="N60" s="2">
        <f>SUM(N56:N59)</f>
        <v>76</v>
      </c>
      <c r="O60" s="2">
        <f>SUM(O56:O59)</f>
        <v>36.103999999999999</v>
      </c>
      <c r="P60" s="2"/>
      <c r="Q60" s="2"/>
      <c r="R60" s="2"/>
      <c r="S60" s="4" t="s">
        <v>722</v>
      </c>
      <c r="T60" s="2">
        <f>SUM(T56:T59)</f>
        <v>76</v>
      </c>
      <c r="U60" s="2">
        <f>SUM(U56:U59)</f>
        <v>32.660800000000002</v>
      </c>
      <c r="V60" s="2"/>
      <c r="W60" s="2"/>
      <c r="X60" s="2"/>
    </row>
    <row r="68" spans="1:1" ht="18.75" x14ac:dyDescent="0.3">
      <c r="A68" s="8"/>
    </row>
    <row r="75" spans="1:1" x14ac:dyDescent="0.25">
      <c r="A75" s="15"/>
    </row>
    <row r="76" spans="1:1" x14ac:dyDescent="0.25">
      <c r="A76" s="15"/>
    </row>
    <row r="77" spans="1:1" x14ac:dyDescent="0.25">
      <c r="A77" s="15"/>
    </row>
    <row r="78" spans="1:1" x14ac:dyDescent="0.25">
      <c r="A78" s="15"/>
    </row>
    <row r="79" spans="1:1" x14ac:dyDescent="0.25">
      <c r="A79" s="15"/>
    </row>
    <row r="81" spans="1:1" ht="18.75" x14ac:dyDescent="0.3">
      <c r="A81" s="8"/>
    </row>
  </sheetData>
  <mergeCells count="18">
    <mergeCell ref="A4:F4"/>
    <mergeCell ref="G4:L4"/>
    <mergeCell ref="M4:R4"/>
    <mergeCell ref="S4:X4"/>
    <mergeCell ref="A3:L3"/>
    <mergeCell ref="M3:X3"/>
    <mergeCell ref="A27:L27"/>
    <mergeCell ref="M27:X27"/>
    <mergeCell ref="A53:L53"/>
    <mergeCell ref="M53:X53"/>
    <mergeCell ref="M54:R54"/>
    <mergeCell ref="S54:X54"/>
    <mergeCell ref="A28:F28"/>
    <mergeCell ref="A54:F54"/>
    <mergeCell ref="G28:L28"/>
    <mergeCell ref="G54:L54"/>
    <mergeCell ref="M28:R28"/>
    <mergeCell ref="S28:X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44F2C-42F7-4CDF-969B-E2CB774C66E1}">
  <dimension ref="A1:AB57"/>
  <sheetViews>
    <sheetView topLeftCell="A48" workbookViewId="0">
      <selection activeCell="F58" sqref="F58"/>
    </sheetView>
  </sheetViews>
  <sheetFormatPr defaultRowHeight="15" x14ac:dyDescent="0.25"/>
  <cols>
    <col min="1" max="1" width="15.5703125" customWidth="1"/>
    <col min="4" max="4" width="9.5703125" bestFit="1" customWidth="1"/>
    <col min="5" max="5" width="12.5703125" customWidth="1"/>
    <col min="6" max="6" width="12.42578125" customWidth="1"/>
    <col min="7" max="7" width="14.140625" customWidth="1"/>
    <col min="8" max="8" width="12.85546875" customWidth="1"/>
    <col min="9" max="9" width="12.28515625" customWidth="1"/>
    <col min="10" max="10" width="13.5703125" customWidth="1"/>
    <col min="11" max="11" width="12.28515625" customWidth="1"/>
    <col min="12" max="12" width="11.140625" customWidth="1"/>
    <col min="14" max="14" width="14.5703125" customWidth="1"/>
    <col min="15" max="15" width="15" customWidth="1"/>
    <col min="19" max="19" width="13.42578125" customWidth="1"/>
  </cols>
  <sheetData>
    <row r="1" spans="1:28" ht="18.75" x14ac:dyDescent="0.3">
      <c r="A1" s="8" t="s">
        <v>793</v>
      </c>
    </row>
    <row r="2" spans="1:28" ht="18.75" x14ac:dyDescent="0.3">
      <c r="A2" s="8"/>
    </row>
    <row r="3" spans="1:28" ht="15.75" x14ac:dyDescent="0.25">
      <c r="A3" s="27" t="s">
        <v>792</v>
      </c>
      <c r="B3" s="28"/>
      <c r="C3" s="28"/>
      <c r="D3" s="28"/>
      <c r="E3" s="28"/>
      <c r="F3" s="28"/>
      <c r="G3" s="28"/>
      <c r="H3" s="28"/>
      <c r="I3" s="28"/>
      <c r="J3" s="28"/>
      <c r="K3" s="28"/>
      <c r="L3" s="28"/>
      <c r="M3" s="28"/>
      <c r="N3" s="29"/>
      <c r="O3" s="27" t="s">
        <v>779</v>
      </c>
      <c r="P3" s="28"/>
      <c r="Q3" s="28"/>
      <c r="R3" s="28"/>
      <c r="S3" s="28"/>
      <c r="T3" s="28"/>
      <c r="U3" s="28"/>
      <c r="V3" s="28"/>
      <c r="W3" s="28"/>
      <c r="X3" s="28"/>
      <c r="Y3" s="28"/>
      <c r="Z3" s="28"/>
      <c r="AA3" s="28"/>
      <c r="AB3" s="29"/>
    </row>
    <row r="4" spans="1:28" ht="45" customHeight="1" x14ac:dyDescent="0.25">
      <c r="A4" s="30" t="s">
        <v>745</v>
      </c>
      <c r="B4" s="31"/>
      <c r="C4" s="31"/>
      <c r="D4" s="31"/>
      <c r="E4" s="31"/>
      <c r="F4" s="31"/>
      <c r="G4" s="32"/>
      <c r="H4" s="30" t="s">
        <v>762</v>
      </c>
      <c r="I4" s="31"/>
      <c r="J4" s="31"/>
      <c r="K4" s="31"/>
      <c r="L4" s="31"/>
      <c r="M4" s="31"/>
      <c r="N4" s="32"/>
      <c r="O4" s="30" t="s">
        <v>745</v>
      </c>
      <c r="P4" s="31"/>
      <c r="Q4" s="31"/>
      <c r="R4" s="31"/>
      <c r="S4" s="31"/>
      <c r="T4" s="31"/>
      <c r="U4" s="32"/>
      <c r="V4" s="30" t="s">
        <v>762</v>
      </c>
      <c r="W4" s="31"/>
      <c r="X4" s="31"/>
      <c r="Y4" s="31"/>
      <c r="Z4" s="31"/>
      <c r="AA4" s="31"/>
      <c r="AB4" s="32"/>
    </row>
    <row r="5" spans="1:28" ht="30" x14ac:dyDescent="0.25">
      <c r="A5" s="9" t="s">
        <v>746</v>
      </c>
      <c r="B5" s="4" t="s">
        <v>718</v>
      </c>
      <c r="C5" s="4" t="s">
        <v>736</v>
      </c>
      <c r="D5" s="4" t="s">
        <v>727</v>
      </c>
      <c r="E5" s="4" t="s">
        <v>719</v>
      </c>
      <c r="F5" s="5" t="s">
        <v>720</v>
      </c>
      <c r="G5" s="5" t="s">
        <v>728</v>
      </c>
      <c r="H5" s="9" t="s">
        <v>746</v>
      </c>
      <c r="I5" s="4" t="s">
        <v>718</v>
      </c>
      <c r="J5" s="4" t="s">
        <v>736</v>
      </c>
      <c r="K5" s="4" t="s">
        <v>737</v>
      </c>
      <c r="L5" s="4" t="s">
        <v>738</v>
      </c>
      <c r="M5" s="5" t="s">
        <v>720</v>
      </c>
      <c r="N5" s="5" t="s">
        <v>728</v>
      </c>
      <c r="O5" s="9" t="s">
        <v>746</v>
      </c>
      <c r="P5" s="4" t="s">
        <v>718</v>
      </c>
      <c r="Q5" s="4" t="s">
        <v>736</v>
      </c>
      <c r="R5" s="4" t="s">
        <v>727</v>
      </c>
      <c r="S5" s="4" t="s">
        <v>719</v>
      </c>
      <c r="T5" s="5" t="s">
        <v>720</v>
      </c>
      <c r="U5" s="5" t="s">
        <v>728</v>
      </c>
      <c r="V5" s="9" t="s">
        <v>746</v>
      </c>
      <c r="W5" s="4" t="s">
        <v>718</v>
      </c>
      <c r="X5" s="4" t="s">
        <v>736</v>
      </c>
      <c r="Y5" s="4" t="s">
        <v>737</v>
      </c>
      <c r="Z5" s="4" t="s">
        <v>738</v>
      </c>
      <c r="AA5" s="5" t="s">
        <v>720</v>
      </c>
      <c r="AB5" s="5" t="s">
        <v>728</v>
      </c>
    </row>
    <row r="6" spans="1:28" x14ac:dyDescent="0.25">
      <c r="A6" s="9" t="s">
        <v>761</v>
      </c>
      <c r="B6" s="4">
        <v>2</v>
      </c>
      <c r="C6" s="4">
        <v>6.6210000000000005E-2</v>
      </c>
      <c r="D6" s="4">
        <v>3.3106999999999998E-2</v>
      </c>
      <c r="E6" s="4">
        <v>3.9297</v>
      </c>
      <c r="F6" s="5">
        <v>2.1360000000000001E-2</v>
      </c>
      <c r="G6" s="5" t="s">
        <v>707</v>
      </c>
      <c r="H6" s="4" t="s">
        <v>761</v>
      </c>
      <c r="I6" s="4">
        <v>2</v>
      </c>
      <c r="J6" s="4">
        <v>6.6210000000000005E-2</v>
      </c>
      <c r="K6" s="4">
        <v>3.3106999999999998E-2</v>
      </c>
      <c r="L6" s="4">
        <v>3.9297</v>
      </c>
      <c r="M6" s="4">
        <v>2.3E-2</v>
      </c>
      <c r="N6" s="5" t="s">
        <v>716</v>
      </c>
      <c r="O6" s="4" t="s">
        <v>761</v>
      </c>
      <c r="P6" s="4">
        <v>2</v>
      </c>
      <c r="Q6" s="4">
        <v>3.1965E-2</v>
      </c>
      <c r="R6" s="4">
        <v>1.5982400000000001E-2</v>
      </c>
      <c r="S6" s="4">
        <v>4.87</v>
      </c>
      <c r="T6" s="5">
        <v>1.031E-2</v>
      </c>
      <c r="U6" s="5" t="s">
        <v>707</v>
      </c>
      <c r="V6" s="4" t="s">
        <v>761</v>
      </c>
      <c r="W6" s="4">
        <v>2</v>
      </c>
      <c r="X6" s="4">
        <v>3.1965E-2</v>
      </c>
      <c r="Y6" s="4">
        <v>1.5982400000000001E-2</v>
      </c>
      <c r="Z6" s="4">
        <v>4.87</v>
      </c>
      <c r="AA6" s="4">
        <v>1.6E-2</v>
      </c>
      <c r="AB6" s="5" t="s">
        <v>707</v>
      </c>
    </row>
    <row r="7" spans="1:28" ht="30" x14ac:dyDescent="0.25">
      <c r="A7" s="9" t="s">
        <v>735</v>
      </c>
      <c r="B7" s="4">
        <v>180</v>
      </c>
      <c r="C7" s="4">
        <v>1.5164800000000001</v>
      </c>
      <c r="D7" s="4">
        <v>8.4250000000000002E-3</v>
      </c>
      <c r="E7" s="4"/>
      <c r="F7" s="4"/>
      <c r="G7" s="4"/>
      <c r="H7" s="4" t="s">
        <v>735</v>
      </c>
      <c r="I7" s="4">
        <v>180</v>
      </c>
      <c r="J7" s="4">
        <v>1.5164800000000001</v>
      </c>
      <c r="K7" s="4">
        <v>8.4250000000000002E-3</v>
      </c>
      <c r="L7" s="4"/>
      <c r="M7" s="4"/>
      <c r="N7" s="4"/>
      <c r="O7" s="4" t="s">
        <v>735</v>
      </c>
      <c r="P7" s="4">
        <v>74</v>
      </c>
      <c r="Q7" s="4">
        <v>0.24285599999999999</v>
      </c>
      <c r="R7" s="4">
        <v>3.2818000000000001E-3</v>
      </c>
      <c r="S7" s="4"/>
      <c r="T7" s="4"/>
      <c r="U7" s="4"/>
      <c r="V7" s="4" t="s">
        <v>735</v>
      </c>
      <c r="W7" s="4">
        <v>74</v>
      </c>
      <c r="X7" s="4">
        <v>0.24285599999999999</v>
      </c>
      <c r="Y7" s="4">
        <v>3.2818000000000001E-3</v>
      </c>
      <c r="Z7" s="4"/>
      <c r="AA7" s="4"/>
      <c r="AB7" s="4"/>
    </row>
    <row r="8" spans="1:28" x14ac:dyDescent="0.25">
      <c r="A8" s="9" t="s">
        <v>722</v>
      </c>
      <c r="B8" s="4">
        <v>182</v>
      </c>
      <c r="C8" s="4">
        <f>SUM(C6:C7)</f>
        <v>1.5826900000000002</v>
      </c>
      <c r="D8" s="4"/>
      <c r="E8" s="4"/>
      <c r="F8" s="4"/>
      <c r="G8" s="4"/>
      <c r="H8" s="4"/>
      <c r="I8" s="4">
        <v>182</v>
      </c>
      <c r="J8" s="4">
        <f>SUM(J6:J7)</f>
        <v>1.5826900000000002</v>
      </c>
      <c r="K8" s="4"/>
      <c r="L8" s="4"/>
      <c r="M8" s="4"/>
      <c r="N8" s="4"/>
      <c r="O8" s="4" t="s">
        <v>722</v>
      </c>
      <c r="P8" s="4">
        <v>76</v>
      </c>
      <c r="Q8" s="4">
        <f>SUM(Q6:Q7)</f>
        <v>0.27482099999999998</v>
      </c>
      <c r="R8" s="4"/>
      <c r="S8" s="4"/>
      <c r="T8" s="4"/>
      <c r="U8" s="4"/>
      <c r="V8" s="4"/>
      <c r="W8" s="4">
        <v>76</v>
      </c>
      <c r="X8" s="4">
        <f>SUM(X6:X7)</f>
        <v>0.27482099999999998</v>
      </c>
      <c r="Y8" s="4"/>
      <c r="Z8" s="4"/>
      <c r="AA8" s="4"/>
      <c r="AB8" s="4"/>
    </row>
    <row r="10" spans="1:28" ht="45" customHeight="1" x14ac:dyDescent="0.25">
      <c r="A10" s="30" t="s">
        <v>754</v>
      </c>
      <c r="B10" s="31"/>
      <c r="C10" s="31"/>
      <c r="D10" s="31"/>
      <c r="E10" s="31"/>
      <c r="F10" s="31"/>
      <c r="G10" s="32"/>
      <c r="H10" s="30" t="s">
        <v>772</v>
      </c>
      <c r="I10" s="31"/>
      <c r="J10" s="31"/>
      <c r="K10" s="31"/>
      <c r="L10" s="31"/>
      <c r="M10" s="31"/>
      <c r="N10" s="32"/>
      <c r="O10" s="30" t="s">
        <v>754</v>
      </c>
      <c r="P10" s="31"/>
      <c r="Q10" s="31"/>
      <c r="R10" s="31"/>
      <c r="S10" s="31"/>
      <c r="T10" s="31"/>
      <c r="U10" s="32"/>
      <c r="V10" s="30" t="s">
        <v>772</v>
      </c>
      <c r="W10" s="31"/>
      <c r="X10" s="31"/>
      <c r="Y10" s="31"/>
      <c r="Z10" s="31"/>
      <c r="AA10" s="31"/>
      <c r="AB10" s="32"/>
    </row>
    <row r="11" spans="1:28" ht="30" x14ac:dyDescent="0.25">
      <c r="A11" s="9" t="s">
        <v>746</v>
      </c>
      <c r="B11" s="4" t="s">
        <v>718</v>
      </c>
      <c r="C11" s="4" t="s">
        <v>736</v>
      </c>
      <c r="D11" s="4" t="s">
        <v>727</v>
      </c>
      <c r="E11" s="4" t="s">
        <v>719</v>
      </c>
      <c r="F11" s="5" t="s">
        <v>720</v>
      </c>
      <c r="G11" s="5" t="s">
        <v>728</v>
      </c>
      <c r="H11" s="9" t="s">
        <v>746</v>
      </c>
      <c r="I11" s="4" t="s">
        <v>718</v>
      </c>
      <c r="J11" s="4" t="s">
        <v>736</v>
      </c>
      <c r="K11" s="4" t="s">
        <v>737</v>
      </c>
      <c r="L11" s="4" t="s">
        <v>738</v>
      </c>
      <c r="M11" s="5" t="s">
        <v>720</v>
      </c>
      <c r="N11" s="5" t="s">
        <v>728</v>
      </c>
      <c r="O11" s="9" t="s">
        <v>746</v>
      </c>
      <c r="P11" s="4" t="s">
        <v>718</v>
      </c>
      <c r="Q11" s="4" t="s">
        <v>736</v>
      </c>
      <c r="R11" s="4" t="s">
        <v>727</v>
      </c>
      <c r="S11" s="4" t="s">
        <v>719</v>
      </c>
      <c r="T11" s="5" t="s">
        <v>720</v>
      </c>
      <c r="U11" s="5" t="s">
        <v>728</v>
      </c>
      <c r="V11" s="9" t="s">
        <v>746</v>
      </c>
      <c r="W11" s="4" t="s">
        <v>718</v>
      </c>
      <c r="X11" s="4" t="s">
        <v>736</v>
      </c>
      <c r="Y11" s="4" t="s">
        <v>737</v>
      </c>
      <c r="Z11" s="4" t="s">
        <v>738</v>
      </c>
      <c r="AA11" s="5" t="s">
        <v>720</v>
      </c>
      <c r="AB11" s="5" t="s">
        <v>728</v>
      </c>
    </row>
    <row r="12" spans="1:28" x14ac:dyDescent="0.25">
      <c r="A12" s="4" t="s">
        <v>761</v>
      </c>
      <c r="B12" s="4">
        <v>2</v>
      </c>
      <c r="C12" s="4">
        <v>6.1899999999999997E-2</v>
      </c>
      <c r="D12" s="4">
        <v>3.0592999999999999E-2</v>
      </c>
      <c r="E12" s="4">
        <v>4.7465999999999999</v>
      </c>
      <c r="F12" s="5">
        <v>9.7970000000000002E-3</v>
      </c>
      <c r="G12" s="5" t="s">
        <v>716</v>
      </c>
      <c r="H12" s="4" t="s">
        <v>761</v>
      </c>
      <c r="I12" s="4">
        <v>2</v>
      </c>
      <c r="J12" s="4">
        <v>6.6210000000000005E-2</v>
      </c>
      <c r="K12" s="4">
        <v>3.0592999999999999E-2</v>
      </c>
      <c r="L12" s="4">
        <v>4.7466600000000003</v>
      </c>
      <c r="M12" s="4">
        <v>4.0000000000000001E-3</v>
      </c>
      <c r="N12" s="5" t="s">
        <v>716</v>
      </c>
      <c r="O12" s="4" t="s">
        <v>761</v>
      </c>
      <c r="P12" s="4">
        <v>2</v>
      </c>
      <c r="Q12" s="4">
        <v>1.391E-2</v>
      </c>
      <c r="R12" s="4">
        <v>6.9551999999999999E-3</v>
      </c>
      <c r="S12" s="4">
        <v>5.9363999999999999</v>
      </c>
      <c r="T12" s="5">
        <v>4.0639999999999999E-3</v>
      </c>
      <c r="U12" s="5" t="s">
        <v>716</v>
      </c>
      <c r="V12" s="4" t="s">
        <v>761</v>
      </c>
      <c r="W12" s="4">
        <v>2</v>
      </c>
      <c r="X12" s="4">
        <v>1.391E-2</v>
      </c>
      <c r="Y12" s="4">
        <v>6.9551999999999999E-3</v>
      </c>
      <c r="Z12" s="4">
        <v>5.9363999999999999</v>
      </c>
      <c r="AA12" s="4">
        <v>7.0000000000000001E-3</v>
      </c>
      <c r="AB12" s="5" t="s">
        <v>716</v>
      </c>
    </row>
    <row r="13" spans="1:28" ht="30" x14ac:dyDescent="0.25">
      <c r="A13" s="4" t="s">
        <v>735</v>
      </c>
      <c r="B13" s="4">
        <v>180</v>
      </c>
      <c r="C13" s="4">
        <v>1.1601399999999999</v>
      </c>
      <c r="D13" s="4">
        <v>6.4450000000000002E-3</v>
      </c>
      <c r="E13" s="4"/>
      <c r="F13" s="4"/>
      <c r="G13" s="4"/>
      <c r="H13" s="4" t="s">
        <v>735</v>
      </c>
      <c r="I13" s="4">
        <v>180</v>
      </c>
      <c r="J13" s="4">
        <v>1.5164800000000001</v>
      </c>
      <c r="K13" s="4">
        <v>6.4451999999999999E-3</v>
      </c>
      <c r="L13" s="4"/>
      <c r="M13" s="4"/>
      <c r="N13" s="4"/>
      <c r="O13" s="4" t="s">
        <v>735</v>
      </c>
      <c r="P13" s="4">
        <v>74</v>
      </c>
      <c r="Q13" s="4">
        <v>8.6701E-2</v>
      </c>
      <c r="R13" s="4">
        <v>1.1716000000000001E-3</v>
      </c>
      <c r="S13" s="4"/>
      <c r="T13" s="4"/>
      <c r="U13" s="4"/>
      <c r="V13" s="4" t="s">
        <v>735</v>
      </c>
      <c r="W13" s="4">
        <v>74</v>
      </c>
      <c r="X13" s="4">
        <v>8.6701E-2</v>
      </c>
      <c r="Y13" s="4">
        <v>1.1716000000000001E-3</v>
      </c>
      <c r="Z13" s="4"/>
      <c r="AA13" s="4"/>
      <c r="AB13" s="4"/>
    </row>
    <row r="14" spans="1:28" x14ac:dyDescent="0.25">
      <c r="A14" s="4" t="s">
        <v>722</v>
      </c>
      <c r="B14" s="4">
        <v>182</v>
      </c>
      <c r="C14" s="4">
        <f>SUM(C12:C13)</f>
        <v>1.22204</v>
      </c>
      <c r="D14" s="4"/>
      <c r="E14" s="4"/>
      <c r="F14" s="4"/>
      <c r="G14" s="4"/>
      <c r="H14" s="4"/>
      <c r="I14" s="4">
        <v>182</v>
      </c>
      <c r="J14" s="4">
        <f>SUM(J12:J13)</f>
        <v>1.5826900000000002</v>
      </c>
      <c r="K14" s="4"/>
      <c r="L14" s="4"/>
      <c r="M14" s="4"/>
      <c r="N14" s="4"/>
      <c r="O14" s="4" t="s">
        <v>722</v>
      </c>
      <c r="P14" s="4">
        <v>76</v>
      </c>
      <c r="Q14" s="4">
        <f>SUM(Q12:Q13)</f>
        <v>0.10061100000000001</v>
      </c>
      <c r="R14" s="4"/>
      <c r="S14" s="4"/>
      <c r="T14" s="4"/>
      <c r="U14" s="4"/>
      <c r="V14" s="4"/>
      <c r="W14" s="4">
        <v>76</v>
      </c>
      <c r="X14" s="4">
        <f>SUM(X12:X13)</f>
        <v>0.10061100000000001</v>
      </c>
      <c r="Y14" s="4"/>
      <c r="Z14" s="4"/>
      <c r="AA14" s="4"/>
      <c r="AB14" s="4"/>
    </row>
    <row r="15" spans="1:28"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row>
    <row r="16" spans="1:28"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row>
    <row r="17" spans="1:28"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row>
    <row r="18" spans="1:28"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row>
    <row r="19" spans="1:28"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row>
    <row r="20" spans="1:28"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row>
    <row r="21" spans="1:28"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row>
    <row r="22" spans="1:28" x14ac:dyDescent="0.25">
      <c r="Q22" s="12"/>
    </row>
    <row r="23" spans="1:28" ht="18.75" x14ac:dyDescent="0.3">
      <c r="A23" s="8" t="s">
        <v>794</v>
      </c>
      <c r="Q23" s="16"/>
    </row>
    <row r="24" spans="1:28" ht="18.75" x14ac:dyDescent="0.3">
      <c r="A24" s="8"/>
      <c r="Q24" s="16"/>
    </row>
    <row r="25" spans="1:28" ht="15.75" x14ac:dyDescent="0.25">
      <c r="A25" s="27" t="s">
        <v>792</v>
      </c>
      <c r="B25" s="28"/>
      <c r="C25" s="28"/>
      <c r="D25" s="28"/>
      <c r="E25" s="28"/>
      <c r="F25" s="28"/>
      <c r="G25" s="28"/>
      <c r="H25" s="29"/>
      <c r="I25" s="27" t="s">
        <v>781</v>
      </c>
      <c r="J25" s="28"/>
      <c r="K25" s="28"/>
      <c r="L25" s="28"/>
      <c r="M25" s="28"/>
      <c r="N25" s="28"/>
      <c r="O25" s="28"/>
      <c r="P25" s="29"/>
      <c r="Q25" s="13"/>
    </row>
    <row r="26" spans="1:28" x14ac:dyDescent="0.25">
      <c r="A26" s="42" t="s">
        <v>773</v>
      </c>
      <c r="B26" s="43"/>
      <c r="C26" s="43"/>
      <c r="D26" s="44"/>
      <c r="E26" s="42" t="s">
        <v>730</v>
      </c>
      <c r="F26" s="43"/>
      <c r="G26" s="43"/>
      <c r="H26" s="44"/>
      <c r="I26" s="42" t="s">
        <v>773</v>
      </c>
      <c r="J26" s="43"/>
      <c r="K26" s="43"/>
      <c r="L26" s="44"/>
      <c r="M26" s="42" t="s">
        <v>730</v>
      </c>
      <c r="N26" s="43"/>
      <c r="O26" s="43"/>
      <c r="P26" s="44"/>
      <c r="Q26" s="13"/>
    </row>
    <row r="27" spans="1:28" x14ac:dyDescent="0.25">
      <c r="A27" s="17" t="s">
        <v>751</v>
      </c>
      <c r="B27" s="2" t="s">
        <v>763</v>
      </c>
      <c r="C27" s="2" t="s">
        <v>764</v>
      </c>
      <c r="D27" s="2" t="s">
        <v>765</v>
      </c>
      <c r="E27" s="17" t="s">
        <v>751</v>
      </c>
      <c r="F27" s="2" t="s">
        <v>763</v>
      </c>
      <c r="G27" s="2" t="s">
        <v>764</v>
      </c>
      <c r="H27" s="2" t="s">
        <v>765</v>
      </c>
      <c r="I27" s="17" t="s">
        <v>751</v>
      </c>
      <c r="J27" s="2" t="s">
        <v>763</v>
      </c>
      <c r="K27" s="2" t="s">
        <v>764</v>
      </c>
      <c r="L27" s="2" t="s">
        <v>765</v>
      </c>
      <c r="M27" s="17" t="s">
        <v>751</v>
      </c>
      <c r="N27" s="2" t="s">
        <v>763</v>
      </c>
      <c r="O27" s="2" t="s">
        <v>764</v>
      </c>
      <c r="P27" s="2" t="s">
        <v>765</v>
      </c>
      <c r="Q27" s="14"/>
    </row>
    <row r="28" spans="1:28" x14ac:dyDescent="0.25">
      <c r="A28" s="2" t="s">
        <v>10</v>
      </c>
      <c r="B28" s="2">
        <v>0.33100000000000002</v>
      </c>
      <c r="C28" s="2">
        <v>0.12</v>
      </c>
      <c r="D28" s="2">
        <v>28</v>
      </c>
      <c r="E28" s="2" t="s">
        <v>10</v>
      </c>
      <c r="F28" s="21">
        <v>0.438</v>
      </c>
      <c r="G28" s="2">
        <v>0.112</v>
      </c>
      <c r="H28" s="2">
        <v>28</v>
      </c>
      <c r="I28" s="2" t="s">
        <v>10</v>
      </c>
      <c r="J28" s="2">
        <v>0.55300000000000005</v>
      </c>
      <c r="K28" s="2">
        <v>6.0999999999999999E-2</v>
      </c>
      <c r="L28" s="2">
        <v>19</v>
      </c>
      <c r="M28" s="2" t="s">
        <v>10</v>
      </c>
      <c r="N28" s="2">
        <v>0.60599999999999998</v>
      </c>
      <c r="O28" s="2">
        <v>3.9199999999999999E-2</v>
      </c>
      <c r="P28" s="2">
        <v>19</v>
      </c>
      <c r="Q28" s="14"/>
    </row>
    <row r="29" spans="1:28" x14ac:dyDescent="0.25">
      <c r="A29" s="2" t="s">
        <v>11</v>
      </c>
      <c r="B29" s="2">
        <v>0.34399999999999997</v>
      </c>
      <c r="C29" s="2">
        <v>8.7499999999999994E-2</v>
      </c>
      <c r="D29" s="2">
        <v>56</v>
      </c>
      <c r="E29" s="2" t="s">
        <v>11</v>
      </c>
      <c r="F29" s="22">
        <v>0.45400000000000001</v>
      </c>
      <c r="G29" s="2">
        <v>7.6999999999999999E-2</v>
      </c>
      <c r="H29" s="2">
        <v>56</v>
      </c>
      <c r="I29" s="2" t="s">
        <v>11</v>
      </c>
      <c r="J29" s="2">
        <v>0.57999999999999996</v>
      </c>
      <c r="K29" s="2">
        <v>6.0499999999999998E-2</v>
      </c>
      <c r="L29" s="2">
        <v>28</v>
      </c>
      <c r="M29" s="2" t="s">
        <v>11</v>
      </c>
      <c r="N29" s="2">
        <v>0.628</v>
      </c>
      <c r="O29" s="2">
        <v>3.4000000000000002E-2</v>
      </c>
      <c r="P29" s="2">
        <v>28</v>
      </c>
      <c r="Q29" s="14"/>
    </row>
    <row r="30" spans="1:28" x14ac:dyDescent="0.25">
      <c r="A30" s="2" t="s">
        <v>9</v>
      </c>
      <c r="B30" s="2">
        <v>0.377</v>
      </c>
      <c r="C30" s="2">
        <v>8.5099999999999995E-2</v>
      </c>
      <c r="D30" s="2">
        <v>99</v>
      </c>
      <c r="E30" s="2" t="s">
        <v>9</v>
      </c>
      <c r="F30" s="21">
        <v>0.48399999999999999</v>
      </c>
      <c r="G30" s="2">
        <v>7.1300000000000002E-2</v>
      </c>
      <c r="H30" s="2">
        <v>99</v>
      </c>
      <c r="I30" s="2" t="s">
        <v>9</v>
      </c>
      <c r="J30" s="2">
        <v>0.60499999999999998</v>
      </c>
      <c r="K30" s="2">
        <v>5.1499999999999997E-2</v>
      </c>
      <c r="L30" s="2">
        <v>30</v>
      </c>
      <c r="M30" s="2" t="s">
        <v>9</v>
      </c>
      <c r="N30" s="2">
        <v>0.64</v>
      </c>
      <c r="O30" s="2">
        <v>3.1E-2</v>
      </c>
      <c r="P30" s="2">
        <v>30</v>
      </c>
      <c r="Q30" s="13"/>
    </row>
    <row r="31" spans="1:28" x14ac:dyDescent="0.25">
      <c r="F31" s="14"/>
      <c r="Q31" s="13"/>
    </row>
    <row r="32" spans="1:28" x14ac:dyDescent="0.25">
      <c r="F32" s="14"/>
      <c r="Q32" s="13"/>
    </row>
    <row r="33" spans="1:22" x14ac:dyDescent="0.25">
      <c r="F33" s="14"/>
      <c r="Q33" s="13"/>
    </row>
    <row r="34" spans="1:22" x14ac:dyDescent="0.25">
      <c r="F34" s="14"/>
      <c r="Q34" s="13"/>
    </row>
    <row r="35" spans="1:22" x14ac:dyDescent="0.25">
      <c r="F35" s="14"/>
      <c r="Q35" s="13"/>
    </row>
    <row r="36" spans="1:22" x14ac:dyDescent="0.25">
      <c r="F36" s="14"/>
      <c r="Q36" s="13"/>
    </row>
    <row r="37" spans="1:22" ht="18.75" x14ac:dyDescent="0.3">
      <c r="A37" s="8" t="s">
        <v>791</v>
      </c>
    </row>
    <row r="38" spans="1:22" ht="18.75" x14ac:dyDescent="0.3">
      <c r="A38" s="8"/>
    </row>
    <row r="39" spans="1:22" ht="15.75" x14ac:dyDescent="0.25">
      <c r="A39" s="26" t="s">
        <v>782</v>
      </c>
      <c r="B39" s="26"/>
      <c r="C39" s="26"/>
      <c r="D39" s="26"/>
      <c r="E39" s="26"/>
      <c r="F39" s="26"/>
      <c r="G39" s="26"/>
      <c r="H39" s="26"/>
      <c r="I39" s="26"/>
      <c r="J39" s="26"/>
      <c r="K39" s="26"/>
      <c r="L39" s="27" t="s">
        <v>779</v>
      </c>
      <c r="M39" s="28"/>
      <c r="N39" s="28"/>
      <c r="O39" s="28"/>
      <c r="P39" s="28"/>
      <c r="Q39" s="28"/>
      <c r="R39" s="28"/>
      <c r="S39" s="28"/>
      <c r="T39" s="28"/>
      <c r="U39" s="28"/>
      <c r="V39" s="29"/>
    </row>
    <row r="40" spans="1:22" ht="45" customHeight="1" x14ac:dyDescent="0.25">
      <c r="A40" s="45" t="s">
        <v>774</v>
      </c>
      <c r="B40" s="46"/>
      <c r="C40" s="46"/>
      <c r="D40" s="46"/>
      <c r="E40" s="46"/>
      <c r="F40" s="46"/>
      <c r="G40" s="47"/>
      <c r="H40" s="45" t="s">
        <v>775</v>
      </c>
      <c r="I40" s="46"/>
      <c r="J40" s="46"/>
      <c r="K40" s="47"/>
      <c r="L40" s="45" t="s">
        <v>774</v>
      </c>
      <c r="M40" s="46"/>
      <c r="N40" s="46"/>
      <c r="O40" s="46"/>
      <c r="P40" s="46"/>
      <c r="Q40" s="46"/>
      <c r="R40" s="47"/>
      <c r="S40" s="45" t="s">
        <v>775</v>
      </c>
      <c r="T40" s="46"/>
      <c r="U40" s="46"/>
      <c r="V40" s="47"/>
    </row>
    <row r="41" spans="1:22" ht="30" x14ac:dyDescent="0.25">
      <c r="A41" s="17" t="s">
        <v>769</v>
      </c>
      <c r="B41" s="5" t="s">
        <v>718</v>
      </c>
      <c r="C41" s="5" t="s">
        <v>736</v>
      </c>
      <c r="D41" s="4" t="s">
        <v>727</v>
      </c>
      <c r="E41" s="5" t="s">
        <v>719</v>
      </c>
      <c r="F41" s="5" t="s">
        <v>720</v>
      </c>
      <c r="G41" s="5" t="s">
        <v>728</v>
      </c>
      <c r="H41" s="3" t="s">
        <v>746</v>
      </c>
      <c r="I41" s="5" t="s">
        <v>770</v>
      </c>
      <c r="J41" s="5" t="s">
        <v>771</v>
      </c>
      <c r="K41" s="5" t="s">
        <v>728</v>
      </c>
      <c r="L41" s="17" t="s">
        <v>769</v>
      </c>
      <c r="M41" s="5" t="s">
        <v>718</v>
      </c>
      <c r="N41" s="5" t="s">
        <v>736</v>
      </c>
      <c r="O41" s="4" t="s">
        <v>727</v>
      </c>
      <c r="P41" s="5" t="s">
        <v>719</v>
      </c>
      <c r="Q41" s="5" t="s">
        <v>720</v>
      </c>
      <c r="R41" s="5" t="s">
        <v>728</v>
      </c>
      <c r="S41" s="3" t="s">
        <v>746</v>
      </c>
      <c r="T41" s="5" t="s">
        <v>770</v>
      </c>
      <c r="U41" s="5" t="s">
        <v>771</v>
      </c>
      <c r="V41" s="5" t="s">
        <v>728</v>
      </c>
    </row>
    <row r="42" spans="1:22" ht="30" x14ac:dyDescent="0.25">
      <c r="A42" s="4" t="s">
        <v>761</v>
      </c>
      <c r="B42" s="4">
        <v>2</v>
      </c>
      <c r="C42" s="4">
        <v>6.6210000000000005E-2</v>
      </c>
      <c r="D42" s="4">
        <v>3.3110000000000001E-2</v>
      </c>
      <c r="E42" s="4">
        <v>3.93</v>
      </c>
      <c r="F42" s="4">
        <v>3.1E-2</v>
      </c>
      <c r="G42" s="10" t="s">
        <v>707</v>
      </c>
      <c r="H42" s="4" t="s">
        <v>766</v>
      </c>
      <c r="I42" s="2">
        <v>0.56029461999999997</v>
      </c>
      <c r="J42" s="4">
        <v>0.58399999999999996</v>
      </c>
      <c r="K42" s="2"/>
      <c r="L42" s="4" t="s">
        <v>761</v>
      </c>
      <c r="M42" s="4">
        <v>2</v>
      </c>
      <c r="N42" s="4">
        <v>3.1965E-2</v>
      </c>
      <c r="O42" s="4">
        <v>1.5982400000000001E-2</v>
      </c>
      <c r="P42" s="4">
        <v>4.87</v>
      </c>
      <c r="Q42" s="4">
        <v>1.4999999999999999E-2</v>
      </c>
      <c r="R42" s="10" t="s">
        <v>707</v>
      </c>
      <c r="S42" s="4" t="s">
        <v>766</v>
      </c>
      <c r="T42" s="2">
        <v>0.13026795599999999</v>
      </c>
      <c r="U42" s="4">
        <v>0.13200000000000001</v>
      </c>
      <c r="V42" s="2"/>
    </row>
    <row r="43" spans="1:22" ht="30" x14ac:dyDescent="0.25">
      <c r="A43" s="4" t="s">
        <v>735</v>
      </c>
      <c r="B43" s="4">
        <v>180</v>
      </c>
      <c r="C43" s="4">
        <v>1.5164800000000001</v>
      </c>
      <c r="D43" s="4">
        <v>8.43E-3</v>
      </c>
      <c r="E43" s="4"/>
      <c r="F43" s="4"/>
      <c r="G43" s="10"/>
      <c r="H43" s="4" t="s">
        <v>767</v>
      </c>
      <c r="I43" s="4">
        <v>2.2919950000000001E-2</v>
      </c>
      <c r="J43" s="4">
        <v>3.4000000000000002E-2</v>
      </c>
      <c r="K43" s="5" t="s">
        <v>707</v>
      </c>
      <c r="L43" s="4" t="s">
        <v>735</v>
      </c>
      <c r="M43" s="4">
        <v>74</v>
      </c>
      <c r="N43" s="4">
        <v>0.24285599999999999</v>
      </c>
      <c r="O43" s="4">
        <v>3.2818000000000001E-3</v>
      </c>
      <c r="P43" s="4"/>
      <c r="Q43" s="4"/>
      <c r="R43" s="10"/>
      <c r="S43" s="4" t="s">
        <v>767</v>
      </c>
      <c r="T43" s="4">
        <v>2.3586810000000001E-3</v>
      </c>
      <c r="U43" s="4">
        <v>6.0000000000000001E-3</v>
      </c>
      <c r="V43" s="5" t="s">
        <v>707</v>
      </c>
    </row>
    <row r="44" spans="1:22" ht="30" x14ac:dyDescent="0.25">
      <c r="A44" s="2" t="s">
        <v>722</v>
      </c>
      <c r="B44" s="2">
        <v>182</v>
      </c>
      <c r="C44" s="2">
        <f>SUM(C42:C43)</f>
        <v>1.5826900000000002</v>
      </c>
      <c r="D44" s="2"/>
      <c r="E44" s="2"/>
      <c r="F44" s="2"/>
      <c r="G44" s="2"/>
      <c r="H44" s="4" t="s">
        <v>768</v>
      </c>
      <c r="I44" s="2">
        <v>0.24525101999999999</v>
      </c>
      <c r="J44" s="4">
        <v>1.9E-2</v>
      </c>
      <c r="K44" s="5" t="s">
        <v>707</v>
      </c>
      <c r="L44" s="2" t="s">
        <v>722</v>
      </c>
      <c r="M44" s="2">
        <v>76</v>
      </c>
      <c r="N44" s="2">
        <f>SUM(N42:N43)</f>
        <v>0.27482099999999998</v>
      </c>
      <c r="O44" s="2"/>
      <c r="P44" s="2"/>
      <c r="Q44" s="2"/>
      <c r="R44" s="2"/>
      <c r="S44" s="4" t="s">
        <v>768</v>
      </c>
      <c r="T44" s="2">
        <v>0.10372598099999999</v>
      </c>
      <c r="U44" s="4">
        <v>0.10299999999999999</v>
      </c>
      <c r="V44" s="5"/>
    </row>
    <row r="46" spans="1:22" x14ac:dyDescent="0.25">
      <c r="A46" s="45" t="s">
        <v>776</v>
      </c>
      <c r="B46" s="46"/>
      <c r="C46" s="46"/>
      <c r="D46" s="46"/>
      <c r="E46" s="46"/>
      <c r="F46" s="46"/>
      <c r="G46" s="47"/>
      <c r="H46" s="45" t="s">
        <v>777</v>
      </c>
      <c r="I46" s="46"/>
      <c r="J46" s="46"/>
      <c r="K46" s="47"/>
      <c r="L46" s="45" t="s">
        <v>776</v>
      </c>
      <c r="M46" s="46"/>
      <c r="N46" s="46"/>
      <c r="O46" s="46"/>
      <c r="P46" s="46"/>
      <c r="Q46" s="46"/>
      <c r="R46" s="47"/>
      <c r="S46" s="45" t="s">
        <v>777</v>
      </c>
      <c r="T46" s="46"/>
      <c r="U46" s="46"/>
      <c r="V46" s="47"/>
    </row>
    <row r="47" spans="1:22" ht="30" x14ac:dyDescent="0.25">
      <c r="A47" s="17" t="s">
        <v>769</v>
      </c>
      <c r="B47" s="5" t="s">
        <v>718</v>
      </c>
      <c r="C47" s="5" t="s">
        <v>736</v>
      </c>
      <c r="D47" s="4" t="s">
        <v>727</v>
      </c>
      <c r="E47" s="5" t="s">
        <v>719</v>
      </c>
      <c r="F47" s="5" t="s">
        <v>720</v>
      </c>
      <c r="G47" s="5" t="s">
        <v>728</v>
      </c>
      <c r="H47" s="3" t="s">
        <v>746</v>
      </c>
      <c r="I47" s="5" t="s">
        <v>770</v>
      </c>
      <c r="J47" s="5" t="s">
        <v>771</v>
      </c>
      <c r="K47" s="5" t="s">
        <v>728</v>
      </c>
      <c r="L47" s="17" t="s">
        <v>769</v>
      </c>
      <c r="M47" s="5" t="s">
        <v>718</v>
      </c>
      <c r="N47" s="5" t="s">
        <v>736</v>
      </c>
      <c r="O47" s="4" t="s">
        <v>727</v>
      </c>
      <c r="P47" s="5" t="s">
        <v>719</v>
      </c>
      <c r="Q47" s="5" t="s">
        <v>720</v>
      </c>
      <c r="R47" s="5" t="s">
        <v>728</v>
      </c>
      <c r="S47" s="3" t="s">
        <v>746</v>
      </c>
      <c r="T47" s="5" t="s">
        <v>770</v>
      </c>
      <c r="U47" s="5" t="s">
        <v>771</v>
      </c>
      <c r="V47" s="5" t="s">
        <v>728</v>
      </c>
    </row>
    <row r="48" spans="1:22" ht="30" x14ac:dyDescent="0.25">
      <c r="A48" s="4" t="s">
        <v>761</v>
      </c>
      <c r="B48" s="4">
        <v>2</v>
      </c>
      <c r="C48" s="4">
        <v>6.1190000000000001E-2</v>
      </c>
      <c r="D48" s="4">
        <v>3.0592999999999999E-2</v>
      </c>
      <c r="E48" s="4">
        <v>4.7465999999999999</v>
      </c>
      <c r="F48" s="4">
        <v>1.7000000000000001E-2</v>
      </c>
      <c r="G48" s="10" t="s">
        <v>707</v>
      </c>
      <c r="H48" s="4" t="s">
        <v>766</v>
      </c>
      <c r="I48" s="2">
        <v>0.47599999999999998</v>
      </c>
      <c r="J48" s="4">
        <v>1.2999999999999999E-2</v>
      </c>
      <c r="K48" s="2"/>
      <c r="L48" s="4" t="s">
        <v>761</v>
      </c>
      <c r="M48" s="4">
        <v>2</v>
      </c>
      <c r="N48" s="4">
        <v>1.391E-2</v>
      </c>
      <c r="O48" s="4">
        <v>6.9551999999999999E-3</v>
      </c>
      <c r="P48" s="4">
        <v>5.9363999999999999</v>
      </c>
      <c r="Q48" s="4">
        <v>5.0000000000000001E-3</v>
      </c>
      <c r="R48" s="10" t="s">
        <v>716</v>
      </c>
      <c r="S48" s="4" t="s">
        <v>766</v>
      </c>
      <c r="T48" s="2">
        <v>4.3941589000000003E-2</v>
      </c>
      <c r="U48" s="4">
        <v>4.2999999999999997E-2</v>
      </c>
      <c r="V48" s="2"/>
    </row>
    <row r="49" spans="1:22" ht="30" x14ac:dyDescent="0.25">
      <c r="A49" s="4" t="s">
        <v>735</v>
      </c>
      <c r="B49" s="4">
        <v>180</v>
      </c>
      <c r="C49" s="4">
        <v>1.1601399999999999</v>
      </c>
      <c r="D49" s="4">
        <v>6.4451999999999999E-3</v>
      </c>
      <c r="E49" s="4"/>
      <c r="F49" s="4"/>
      <c r="G49" s="10"/>
      <c r="H49" s="4" t="s">
        <v>767</v>
      </c>
      <c r="I49" s="4">
        <v>0.44521300000000003</v>
      </c>
      <c r="J49" s="4">
        <v>1.2E-2</v>
      </c>
      <c r="K49" s="5" t="s">
        <v>707</v>
      </c>
      <c r="L49" s="4" t="s">
        <v>735</v>
      </c>
      <c r="M49" s="4">
        <v>74</v>
      </c>
      <c r="N49" s="4">
        <v>8.6701E-2</v>
      </c>
      <c r="O49" s="4">
        <v>1.1716000000000001E-3</v>
      </c>
      <c r="P49" s="4"/>
      <c r="Q49" s="4"/>
      <c r="R49" s="10"/>
      <c r="S49" s="4" t="s">
        <v>767</v>
      </c>
      <c r="T49" s="4">
        <v>1.270691E-3</v>
      </c>
      <c r="U49" s="4">
        <v>4.0000000000000001E-3</v>
      </c>
      <c r="V49" s="5" t="s">
        <v>707</v>
      </c>
    </row>
    <row r="50" spans="1:22" ht="30" x14ac:dyDescent="0.25">
      <c r="A50" s="2" t="s">
        <v>722</v>
      </c>
      <c r="B50" s="2">
        <v>182</v>
      </c>
      <c r="C50" s="2">
        <f>SUM(C48:C49)</f>
        <v>1.22133</v>
      </c>
      <c r="D50" s="2"/>
      <c r="E50" s="2"/>
      <c r="F50" s="2"/>
      <c r="G50" s="2"/>
      <c r="H50" s="4" t="s">
        <v>768</v>
      </c>
      <c r="I50" s="2">
        <v>9.7780000000000002E-3</v>
      </c>
      <c r="J50" s="4">
        <v>1.4999999999999999E-2</v>
      </c>
      <c r="K50" s="5" t="s">
        <v>707</v>
      </c>
      <c r="L50" s="2" t="s">
        <v>722</v>
      </c>
      <c r="M50" s="2">
        <v>76</v>
      </c>
      <c r="N50" s="2">
        <f>SUM(N48:N49)</f>
        <v>0.10061100000000001</v>
      </c>
      <c r="O50" s="2"/>
      <c r="P50" s="2"/>
      <c r="Q50" s="2"/>
      <c r="R50" s="2"/>
      <c r="S50" s="4" t="s">
        <v>768</v>
      </c>
      <c r="T50" s="2">
        <v>0.15586191999999999</v>
      </c>
      <c r="U50" s="4">
        <v>0.156</v>
      </c>
      <c r="V50" s="5"/>
    </row>
    <row r="51" spans="1:22" ht="18.75" x14ac:dyDescent="0.3">
      <c r="A51" s="8"/>
      <c r="N51" s="12"/>
    </row>
    <row r="52" spans="1:22" x14ac:dyDescent="0.25">
      <c r="N52" s="12"/>
    </row>
    <row r="53" spans="1:22" x14ac:dyDescent="0.25">
      <c r="N53" s="11"/>
    </row>
    <row r="54" spans="1:22" x14ac:dyDescent="0.25">
      <c r="N54" s="12"/>
    </row>
    <row r="55" spans="1:22" x14ac:dyDescent="0.25">
      <c r="N55" s="12"/>
    </row>
    <row r="56" spans="1:22" x14ac:dyDescent="0.25">
      <c r="N56" s="12"/>
    </row>
    <row r="57" spans="1:22" x14ac:dyDescent="0.25">
      <c r="N57" s="12"/>
    </row>
  </sheetData>
  <mergeCells count="26">
    <mergeCell ref="A46:G46"/>
    <mergeCell ref="H46:K46"/>
    <mergeCell ref="A4:G4"/>
    <mergeCell ref="H4:N4"/>
    <mergeCell ref="A10:G10"/>
    <mergeCell ref="H10:N10"/>
    <mergeCell ref="A40:G40"/>
    <mergeCell ref="H40:K40"/>
    <mergeCell ref="A39:K39"/>
    <mergeCell ref="L39:V39"/>
    <mergeCell ref="L40:R40"/>
    <mergeCell ref="S40:V40"/>
    <mergeCell ref="L46:R46"/>
    <mergeCell ref="S46:V46"/>
    <mergeCell ref="O4:U4"/>
    <mergeCell ref="V4:AB4"/>
    <mergeCell ref="A3:N3"/>
    <mergeCell ref="O3:AB3"/>
    <mergeCell ref="A25:H25"/>
    <mergeCell ref="I25:P25"/>
    <mergeCell ref="A26:D26"/>
    <mergeCell ref="E26:H26"/>
    <mergeCell ref="O10:U10"/>
    <mergeCell ref="V10:AB10"/>
    <mergeCell ref="I26:L26"/>
    <mergeCell ref="M26:P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FABA-96A9-4640-9B46-28F3E14D2DE6}">
  <dimension ref="A1:I166"/>
  <sheetViews>
    <sheetView tabSelected="1" workbookViewId="0">
      <selection activeCell="L11" sqref="L11"/>
    </sheetView>
  </sheetViews>
  <sheetFormatPr defaultRowHeight="15" x14ac:dyDescent="0.25"/>
  <cols>
    <col min="1" max="1" width="15.85546875" bestFit="1" customWidth="1"/>
    <col min="2" max="3" width="10.5703125" bestFit="1" customWidth="1"/>
    <col min="5" max="5" width="17.7109375" bestFit="1" customWidth="1"/>
    <col min="6" max="6" width="17.5703125" bestFit="1" customWidth="1"/>
    <col min="7" max="7" width="17.7109375" bestFit="1" customWidth="1"/>
    <col min="8" max="8" width="11.42578125" bestFit="1" customWidth="1"/>
    <col min="9" max="9" width="12" bestFit="1" customWidth="1"/>
  </cols>
  <sheetData>
    <row r="1" spans="1:9" x14ac:dyDescent="0.25">
      <c r="A1" s="17" t="s">
        <v>678</v>
      </c>
      <c r="B1" s="17" t="s">
        <v>698</v>
      </c>
      <c r="C1" s="17" t="s">
        <v>697</v>
      </c>
      <c r="D1" s="17" t="s">
        <v>682</v>
      </c>
      <c r="E1" s="17" t="s">
        <v>957</v>
      </c>
      <c r="F1" s="17" t="s">
        <v>958</v>
      </c>
      <c r="G1" s="17" t="s">
        <v>959</v>
      </c>
      <c r="H1" s="17" t="s">
        <v>971</v>
      </c>
      <c r="I1" s="17" t="s">
        <v>960</v>
      </c>
    </row>
    <row r="2" spans="1:9" x14ac:dyDescent="0.25">
      <c r="A2" s="2" t="s">
        <v>799</v>
      </c>
      <c r="B2" s="2" t="s">
        <v>9</v>
      </c>
      <c r="C2" s="2" t="s">
        <v>684</v>
      </c>
      <c r="D2" s="2" t="s">
        <v>961</v>
      </c>
      <c r="E2" s="2">
        <v>5592.2826500000001</v>
      </c>
      <c r="F2" s="2">
        <v>4808.461292</v>
      </c>
      <c r="G2" s="2">
        <v>85.983874450000002</v>
      </c>
      <c r="H2" s="2">
        <v>3448.14</v>
      </c>
      <c r="I2" s="2">
        <v>0.26</v>
      </c>
    </row>
    <row r="3" spans="1:9" x14ac:dyDescent="0.25">
      <c r="A3" s="2" t="s">
        <v>800</v>
      </c>
      <c r="B3" s="2" t="s">
        <v>9</v>
      </c>
      <c r="C3" s="2" t="s">
        <v>685</v>
      </c>
      <c r="D3" s="2" t="s">
        <v>961</v>
      </c>
      <c r="E3" s="2">
        <v>9867.8290780000007</v>
      </c>
      <c r="F3" s="2">
        <v>9247.9776290000009</v>
      </c>
      <c r="G3" s="2">
        <v>93.718461849999997</v>
      </c>
      <c r="H3" s="2">
        <v>2465.61</v>
      </c>
      <c r="I3" s="2">
        <v>0.22</v>
      </c>
    </row>
    <row r="4" spans="1:9" x14ac:dyDescent="0.25">
      <c r="A4" s="2" t="s">
        <v>801</v>
      </c>
      <c r="B4" s="2" t="s">
        <v>10</v>
      </c>
      <c r="C4" s="2" t="s">
        <v>690</v>
      </c>
      <c r="D4" s="2" t="s">
        <v>961</v>
      </c>
      <c r="E4" s="2">
        <v>6448.3285249999999</v>
      </c>
      <c r="F4" s="2">
        <v>5069.4555319999999</v>
      </c>
      <c r="G4" s="2">
        <v>78.616582769999994</v>
      </c>
      <c r="H4" s="2">
        <v>3768.63</v>
      </c>
      <c r="I4" s="2">
        <v>0.28000000000000003</v>
      </c>
    </row>
    <row r="5" spans="1:9" x14ac:dyDescent="0.25">
      <c r="A5" s="2" t="s">
        <v>803</v>
      </c>
      <c r="B5" s="2" t="s">
        <v>11</v>
      </c>
      <c r="C5" s="2" t="s">
        <v>691</v>
      </c>
      <c r="D5" s="2" t="s">
        <v>961</v>
      </c>
      <c r="E5" s="2">
        <v>6699.2811499999998</v>
      </c>
      <c r="F5" s="2">
        <v>5531.0949369999998</v>
      </c>
      <c r="G5" s="2">
        <v>82.562513989999999</v>
      </c>
      <c r="H5" s="2">
        <v>3888.72</v>
      </c>
      <c r="I5" s="2">
        <v>0.28000000000000003</v>
      </c>
    </row>
    <row r="6" spans="1:9" x14ac:dyDescent="0.25">
      <c r="A6" s="2" t="s">
        <v>802</v>
      </c>
      <c r="B6" s="2" t="s">
        <v>10</v>
      </c>
      <c r="C6" s="2" t="s">
        <v>692</v>
      </c>
      <c r="D6" s="2" t="s">
        <v>961</v>
      </c>
      <c r="E6" s="2">
        <v>929.37731719999999</v>
      </c>
      <c r="F6" s="2">
        <v>638.76717929999995</v>
      </c>
      <c r="G6" s="2">
        <v>68.730661650000002</v>
      </c>
      <c r="H6" s="2">
        <v>3789.76</v>
      </c>
      <c r="I6" s="2">
        <v>0.38</v>
      </c>
    </row>
    <row r="7" spans="1:9" x14ac:dyDescent="0.25">
      <c r="A7" s="2" t="s">
        <v>804</v>
      </c>
      <c r="B7" s="2" t="s">
        <v>11</v>
      </c>
      <c r="C7" s="2" t="s">
        <v>693</v>
      </c>
      <c r="D7" s="2" t="s">
        <v>961</v>
      </c>
      <c r="E7" s="2">
        <v>7516.2418790000002</v>
      </c>
      <c r="F7" s="2">
        <v>6230.0941499999999</v>
      </c>
      <c r="G7" s="2">
        <v>82.888420179999997</v>
      </c>
      <c r="H7" s="2">
        <v>2998.01</v>
      </c>
      <c r="I7" s="2">
        <v>0.23</v>
      </c>
    </row>
    <row r="8" spans="1:9" x14ac:dyDescent="0.25">
      <c r="A8" s="2" t="s">
        <v>805</v>
      </c>
      <c r="B8" s="2" t="s">
        <v>11</v>
      </c>
      <c r="C8" s="2" t="s">
        <v>694</v>
      </c>
      <c r="D8" s="2" t="s">
        <v>961</v>
      </c>
      <c r="E8" s="2">
        <v>6499.7953209999996</v>
      </c>
      <c r="F8" s="2">
        <v>5500.4841619999997</v>
      </c>
      <c r="G8" s="2">
        <v>84.625498039999997</v>
      </c>
      <c r="H8" s="2">
        <v>3266.74</v>
      </c>
      <c r="I8" s="2">
        <v>0.25</v>
      </c>
    </row>
    <row r="9" spans="1:9" x14ac:dyDescent="0.25">
      <c r="A9" s="2" t="s">
        <v>806</v>
      </c>
      <c r="B9" s="2" t="s">
        <v>11</v>
      </c>
      <c r="C9" s="2" t="s">
        <v>695</v>
      </c>
      <c r="D9" s="2" t="s">
        <v>961</v>
      </c>
      <c r="E9" s="2">
        <v>15575.70191</v>
      </c>
      <c r="F9" s="2">
        <v>14166.48364</v>
      </c>
      <c r="G9" s="2">
        <v>90.952457379999998</v>
      </c>
      <c r="H9" s="2">
        <v>3515.68</v>
      </c>
      <c r="I9" s="2">
        <v>0.26</v>
      </c>
    </row>
    <row r="10" spans="1:9" x14ac:dyDescent="0.25">
      <c r="A10" s="2" t="s">
        <v>807</v>
      </c>
      <c r="B10" s="2" t="s">
        <v>9</v>
      </c>
      <c r="C10" s="2" t="s">
        <v>684</v>
      </c>
      <c r="D10" s="2" t="s">
        <v>961</v>
      </c>
      <c r="E10" s="2">
        <v>20948.78631</v>
      </c>
      <c r="F10" s="2">
        <v>9876.1733569999997</v>
      </c>
      <c r="G10" s="2">
        <v>47.144370139999999</v>
      </c>
      <c r="H10" s="2">
        <v>3052.39</v>
      </c>
      <c r="I10" s="2">
        <v>0.21</v>
      </c>
    </row>
    <row r="11" spans="1:9" x14ac:dyDescent="0.25">
      <c r="A11" s="2" t="s">
        <v>808</v>
      </c>
      <c r="B11" s="2" t="s">
        <v>9</v>
      </c>
      <c r="C11" s="2" t="s">
        <v>685</v>
      </c>
      <c r="D11" s="2" t="s">
        <v>961</v>
      </c>
      <c r="E11" s="2">
        <v>51123.315029999998</v>
      </c>
      <c r="F11" s="2">
        <v>26081.920399999999</v>
      </c>
      <c r="G11" s="2">
        <v>51.017662649999998</v>
      </c>
      <c r="H11" s="2">
        <v>3373.93</v>
      </c>
      <c r="I11" s="2">
        <v>0.21</v>
      </c>
    </row>
    <row r="12" spans="1:9" x14ac:dyDescent="0.25">
      <c r="A12" s="2" t="s">
        <v>809</v>
      </c>
      <c r="B12" s="2" t="s">
        <v>9</v>
      </c>
      <c r="C12" s="2" t="s">
        <v>686</v>
      </c>
      <c r="D12" s="2" t="s">
        <v>961</v>
      </c>
      <c r="E12" s="2">
        <v>317548.27370000002</v>
      </c>
      <c r="F12" s="2">
        <v>295728.93680000002</v>
      </c>
      <c r="G12" s="2">
        <v>93.128812609999997</v>
      </c>
      <c r="H12" s="2">
        <v>2607.1999999999998</v>
      </c>
      <c r="I12" s="2">
        <v>0.2</v>
      </c>
    </row>
    <row r="13" spans="1:9" x14ac:dyDescent="0.25">
      <c r="A13" s="2" t="s">
        <v>810</v>
      </c>
      <c r="B13" s="2" t="s">
        <v>9</v>
      </c>
      <c r="C13" s="2" t="s">
        <v>687</v>
      </c>
      <c r="D13" s="2" t="s">
        <v>961</v>
      </c>
      <c r="E13" s="2">
        <v>24323.271860000001</v>
      </c>
      <c r="F13" s="2">
        <v>20040.740519999999</v>
      </c>
      <c r="G13" s="2">
        <v>82.393276009999994</v>
      </c>
      <c r="H13" s="2">
        <v>4236.43</v>
      </c>
      <c r="I13" s="2">
        <v>0.24</v>
      </c>
    </row>
    <row r="14" spans="1:9" x14ac:dyDescent="0.25">
      <c r="A14" s="2" t="s">
        <v>811</v>
      </c>
      <c r="B14" s="2" t="s">
        <v>9</v>
      </c>
      <c r="C14" s="2" t="s">
        <v>688</v>
      </c>
      <c r="D14" s="2" t="s">
        <v>961</v>
      </c>
      <c r="E14" s="2">
        <v>289060.62780000002</v>
      </c>
      <c r="F14" s="2">
        <v>234929.3524</v>
      </c>
      <c r="G14" s="2">
        <v>81.273383440000003</v>
      </c>
      <c r="H14" s="2">
        <v>3561.5</v>
      </c>
      <c r="I14" s="2">
        <v>0.26</v>
      </c>
    </row>
    <row r="15" spans="1:9" x14ac:dyDescent="0.25">
      <c r="A15" s="2" t="s">
        <v>812</v>
      </c>
      <c r="B15" s="2" t="s">
        <v>9</v>
      </c>
      <c r="C15" s="2" t="s">
        <v>689</v>
      </c>
      <c r="D15" s="2" t="s">
        <v>961</v>
      </c>
      <c r="E15" s="2">
        <v>2156.700249</v>
      </c>
      <c r="F15" s="2">
        <v>129.9506188</v>
      </c>
      <c r="G15" s="2">
        <v>6.0254371859999996</v>
      </c>
      <c r="H15" s="2">
        <v>2668.08</v>
      </c>
      <c r="I15" s="2">
        <v>0.28000000000000003</v>
      </c>
    </row>
    <row r="16" spans="1:9" x14ac:dyDescent="0.25">
      <c r="A16" s="2" t="s">
        <v>813</v>
      </c>
      <c r="B16" s="2" t="s">
        <v>10</v>
      </c>
      <c r="C16" s="2" t="s">
        <v>690</v>
      </c>
      <c r="D16" s="2" t="s">
        <v>1</v>
      </c>
      <c r="E16" s="2">
        <v>394589.03009999997</v>
      </c>
      <c r="F16" s="2">
        <v>358751.38679999998</v>
      </c>
      <c r="G16" s="2">
        <v>90.917729449999996</v>
      </c>
      <c r="H16" s="2">
        <v>2717.05</v>
      </c>
      <c r="I16" s="2">
        <v>0.2</v>
      </c>
    </row>
    <row r="17" spans="1:9" x14ac:dyDescent="0.25">
      <c r="A17" s="2" t="s">
        <v>819</v>
      </c>
      <c r="B17" s="2" t="s">
        <v>9</v>
      </c>
      <c r="C17" s="2" t="s">
        <v>684</v>
      </c>
      <c r="D17" s="2" t="s">
        <v>1</v>
      </c>
      <c r="E17" s="2">
        <v>63063.602859999999</v>
      </c>
      <c r="F17" s="2">
        <v>52787.124210000002</v>
      </c>
      <c r="G17" s="2">
        <v>83.704580480000004</v>
      </c>
      <c r="H17" s="2">
        <v>5150.26</v>
      </c>
      <c r="I17" s="2">
        <v>0.26</v>
      </c>
    </row>
    <row r="18" spans="1:9" x14ac:dyDescent="0.25">
      <c r="A18" s="2" t="s">
        <v>820</v>
      </c>
      <c r="B18" s="2" t="s">
        <v>9</v>
      </c>
      <c r="C18" s="2" t="s">
        <v>685</v>
      </c>
      <c r="D18" s="2" t="s">
        <v>1</v>
      </c>
      <c r="E18" s="2">
        <v>23518.372480000002</v>
      </c>
      <c r="F18" s="2">
        <v>14313.27276</v>
      </c>
      <c r="G18" s="2">
        <v>60.859962879999998</v>
      </c>
      <c r="H18" s="2">
        <v>3284.88</v>
      </c>
      <c r="I18" s="2">
        <v>0.23</v>
      </c>
    </row>
    <row r="19" spans="1:9" x14ac:dyDescent="0.25">
      <c r="A19" s="2" t="s">
        <v>815</v>
      </c>
      <c r="B19" s="2" t="s">
        <v>11</v>
      </c>
      <c r="C19" s="2" t="s">
        <v>691</v>
      </c>
      <c r="D19" s="2" t="s">
        <v>1</v>
      </c>
      <c r="E19" s="2">
        <v>63063.602859999999</v>
      </c>
      <c r="F19" s="2">
        <v>52787.124210000002</v>
      </c>
      <c r="G19" s="2">
        <v>83.704580480000004</v>
      </c>
      <c r="H19" s="2">
        <v>5149.68</v>
      </c>
      <c r="I19" s="2">
        <v>0.26</v>
      </c>
    </row>
    <row r="20" spans="1:9" x14ac:dyDescent="0.25">
      <c r="A20" s="2" t="s">
        <v>962</v>
      </c>
      <c r="B20" s="2" t="s">
        <v>9</v>
      </c>
      <c r="C20" s="2" t="s">
        <v>686</v>
      </c>
      <c r="D20" s="2" t="s">
        <v>1</v>
      </c>
      <c r="E20" s="2">
        <v>30448.845939999999</v>
      </c>
      <c r="F20" s="2">
        <v>21725.673439999999</v>
      </c>
      <c r="G20" s="2">
        <v>71.351385469999997</v>
      </c>
      <c r="H20" s="2">
        <v>3207.38</v>
      </c>
      <c r="I20" s="2">
        <v>0.21</v>
      </c>
    </row>
    <row r="21" spans="1:9" x14ac:dyDescent="0.25">
      <c r="A21" s="2" t="s">
        <v>821</v>
      </c>
      <c r="B21" s="2" t="s">
        <v>9</v>
      </c>
      <c r="C21" s="2" t="s">
        <v>687</v>
      </c>
      <c r="D21" s="2" t="s">
        <v>1</v>
      </c>
      <c r="E21" s="2">
        <v>21994.58871</v>
      </c>
      <c r="F21" s="2">
        <v>12560.656590000001</v>
      </c>
      <c r="G21" s="2">
        <v>57.107940290000002</v>
      </c>
      <c r="H21" s="2">
        <v>3070.63</v>
      </c>
      <c r="I21" s="2">
        <v>0.22</v>
      </c>
    </row>
    <row r="22" spans="1:9" x14ac:dyDescent="0.25">
      <c r="A22" s="2" t="s">
        <v>814</v>
      </c>
      <c r="B22" s="2" t="s">
        <v>10</v>
      </c>
      <c r="C22" s="2" t="s">
        <v>692</v>
      </c>
      <c r="D22" s="2" t="s">
        <v>1</v>
      </c>
      <c r="E22" s="2">
        <v>30448.845939999999</v>
      </c>
      <c r="F22" s="2">
        <v>21725.673439999999</v>
      </c>
      <c r="G22" s="2">
        <v>71.351385469999997</v>
      </c>
      <c r="H22" s="2">
        <v>3207.85</v>
      </c>
      <c r="I22" s="2">
        <v>0.21</v>
      </c>
    </row>
    <row r="23" spans="1:9" x14ac:dyDescent="0.25">
      <c r="A23" s="2" t="s">
        <v>822</v>
      </c>
      <c r="B23" s="2" t="s">
        <v>9</v>
      </c>
      <c r="C23" s="2" t="s">
        <v>688</v>
      </c>
      <c r="D23" s="2" t="s">
        <v>1</v>
      </c>
      <c r="E23" s="2">
        <v>394589.03009999997</v>
      </c>
      <c r="F23" s="2">
        <v>358751.38679999998</v>
      </c>
      <c r="G23" s="2">
        <v>90.917729449999996</v>
      </c>
      <c r="H23" s="2">
        <v>2720.45</v>
      </c>
      <c r="I23" s="2">
        <v>0.2</v>
      </c>
    </row>
    <row r="24" spans="1:9" x14ac:dyDescent="0.25">
      <c r="A24" s="2" t="s">
        <v>823</v>
      </c>
      <c r="B24" s="2" t="s">
        <v>9</v>
      </c>
      <c r="C24" s="2" t="s">
        <v>689</v>
      </c>
      <c r="D24" s="2" t="s">
        <v>1</v>
      </c>
      <c r="E24" s="2">
        <v>11165.19896</v>
      </c>
      <c r="F24" s="2">
        <v>10193.374309999999</v>
      </c>
      <c r="G24" s="2">
        <v>91.295948589999995</v>
      </c>
      <c r="H24" s="2">
        <v>4207.41</v>
      </c>
      <c r="I24" s="2">
        <v>0.3</v>
      </c>
    </row>
    <row r="25" spans="1:9" x14ac:dyDescent="0.25">
      <c r="A25" s="2" t="s">
        <v>816</v>
      </c>
      <c r="B25" s="2" t="s">
        <v>11</v>
      </c>
      <c r="C25" s="2" t="s">
        <v>693</v>
      </c>
      <c r="D25" s="2" t="s">
        <v>1</v>
      </c>
      <c r="E25" s="2">
        <v>21994.58871</v>
      </c>
      <c r="F25" s="2">
        <v>12560.656590000001</v>
      </c>
      <c r="G25" s="2">
        <v>57.107940290000002</v>
      </c>
      <c r="H25" s="2">
        <v>3072.41</v>
      </c>
      <c r="I25" s="2">
        <v>0.22</v>
      </c>
    </row>
    <row r="26" spans="1:9" x14ac:dyDescent="0.25">
      <c r="A26" s="2" t="s">
        <v>817</v>
      </c>
      <c r="B26" s="2" t="s">
        <v>11</v>
      </c>
      <c r="C26" s="2" t="s">
        <v>694</v>
      </c>
      <c r="D26" s="2" t="s">
        <v>1</v>
      </c>
      <c r="E26" s="2">
        <v>11165.19896</v>
      </c>
      <c r="F26" s="2">
        <v>10193.374309999999</v>
      </c>
      <c r="G26" s="2">
        <v>91.295948589999995</v>
      </c>
      <c r="H26" s="2">
        <v>4211.09</v>
      </c>
      <c r="I26" s="2">
        <v>0.3</v>
      </c>
    </row>
    <row r="27" spans="1:9" x14ac:dyDescent="0.25">
      <c r="A27" s="2" t="s">
        <v>818</v>
      </c>
      <c r="B27" s="2" t="s">
        <v>11</v>
      </c>
      <c r="C27" s="2" t="s">
        <v>695</v>
      </c>
      <c r="D27" s="2" t="s">
        <v>1</v>
      </c>
      <c r="E27" s="2">
        <v>23518.372480000002</v>
      </c>
      <c r="F27" s="2">
        <v>14313.27276</v>
      </c>
      <c r="G27" s="2">
        <v>60.859962879999998</v>
      </c>
      <c r="H27" s="2">
        <v>3284.18</v>
      </c>
      <c r="I27" s="2">
        <v>0.23</v>
      </c>
    </row>
    <row r="28" spans="1:9" x14ac:dyDescent="0.25">
      <c r="A28" s="2" t="s">
        <v>824</v>
      </c>
      <c r="B28" s="2" t="s">
        <v>9</v>
      </c>
      <c r="C28" s="2" t="s">
        <v>684</v>
      </c>
      <c r="D28" s="2" t="s">
        <v>1</v>
      </c>
      <c r="E28" s="2">
        <v>125826.0956</v>
      </c>
      <c r="F28" s="2">
        <v>121240.5546</v>
      </c>
      <c r="G28" s="2">
        <v>96.355651809999998</v>
      </c>
      <c r="H28" s="2">
        <v>3083.75</v>
      </c>
      <c r="I28" s="2">
        <v>0.21</v>
      </c>
    </row>
    <row r="29" spans="1:9" x14ac:dyDescent="0.25">
      <c r="A29" s="2" t="s">
        <v>825</v>
      </c>
      <c r="B29" s="2" t="s">
        <v>9</v>
      </c>
      <c r="C29" s="2" t="s">
        <v>685</v>
      </c>
      <c r="D29" s="2" t="s">
        <v>1</v>
      </c>
      <c r="E29" s="2">
        <v>4431.6242300000004</v>
      </c>
      <c r="F29" s="2">
        <v>2495.7322979999999</v>
      </c>
      <c r="G29" s="2">
        <v>56.316424140000002</v>
      </c>
      <c r="H29" s="2">
        <v>2377.1799999999998</v>
      </c>
      <c r="I29" s="2">
        <v>0.25</v>
      </c>
    </row>
    <row r="30" spans="1:9" x14ac:dyDescent="0.25">
      <c r="A30" s="2" t="s">
        <v>826</v>
      </c>
      <c r="B30" s="2" t="s">
        <v>9</v>
      </c>
      <c r="C30" s="2" t="s">
        <v>686</v>
      </c>
      <c r="D30" s="2" t="s">
        <v>1</v>
      </c>
      <c r="E30" s="2">
        <v>9513.8160200000002</v>
      </c>
      <c r="F30" s="2">
        <v>6859.2994930000004</v>
      </c>
      <c r="G30" s="2">
        <v>72.098298709999995</v>
      </c>
      <c r="H30" s="2">
        <v>3162.54</v>
      </c>
      <c r="I30" s="2">
        <v>0.23</v>
      </c>
    </row>
    <row r="31" spans="1:9" x14ac:dyDescent="0.25">
      <c r="A31" s="2" t="s">
        <v>827</v>
      </c>
      <c r="B31" s="2" t="s">
        <v>9</v>
      </c>
      <c r="C31" s="2" t="s">
        <v>687</v>
      </c>
      <c r="D31" s="2" t="s">
        <v>1</v>
      </c>
      <c r="E31" s="2">
        <v>1397.512428</v>
      </c>
      <c r="F31" s="2">
        <v>579.07926399999997</v>
      </c>
      <c r="G31" s="2">
        <v>41.436430360000003</v>
      </c>
      <c r="H31" s="2">
        <v>4222.5600000000004</v>
      </c>
      <c r="I31" s="2">
        <v>0.37</v>
      </c>
    </row>
    <row r="32" spans="1:9" x14ac:dyDescent="0.25">
      <c r="A32" s="2" t="s">
        <v>828</v>
      </c>
      <c r="B32" s="2" t="s">
        <v>9</v>
      </c>
      <c r="C32" s="2" t="s">
        <v>688</v>
      </c>
      <c r="D32" s="2" t="s">
        <v>1</v>
      </c>
      <c r="E32" s="2">
        <v>7876.3738729999995</v>
      </c>
      <c r="F32" s="2">
        <v>5970.0896510000002</v>
      </c>
      <c r="G32" s="2">
        <v>75.79743861</v>
      </c>
      <c r="H32" s="2">
        <v>4412.2700000000004</v>
      </c>
      <c r="I32" s="2">
        <v>0.31</v>
      </c>
    </row>
    <row r="33" spans="1:9" x14ac:dyDescent="0.25">
      <c r="A33" s="2" t="s">
        <v>829</v>
      </c>
      <c r="B33" s="2" t="s">
        <v>9</v>
      </c>
      <c r="C33" s="2" t="s">
        <v>689</v>
      </c>
      <c r="D33" s="2" t="s">
        <v>1</v>
      </c>
      <c r="E33" s="2">
        <v>5820.3963460000004</v>
      </c>
      <c r="F33" s="2">
        <v>2188.708662</v>
      </c>
      <c r="G33" s="2">
        <v>37.604117170000002</v>
      </c>
      <c r="H33" s="2">
        <v>4039.24</v>
      </c>
      <c r="I33" s="2">
        <v>0.3</v>
      </c>
    </row>
    <row r="34" spans="1:9" x14ac:dyDescent="0.25">
      <c r="A34" s="2" t="s">
        <v>830</v>
      </c>
      <c r="B34" s="2" t="s">
        <v>10</v>
      </c>
      <c r="C34" s="2" t="s">
        <v>690</v>
      </c>
      <c r="D34" s="2" t="s">
        <v>1</v>
      </c>
      <c r="E34" s="2">
        <v>476852.63860000001</v>
      </c>
      <c r="F34" s="2">
        <v>448715.89889999997</v>
      </c>
      <c r="G34" s="2">
        <v>94.099489550000001</v>
      </c>
      <c r="H34" s="2">
        <v>2762.93</v>
      </c>
      <c r="I34" s="2">
        <v>0.2</v>
      </c>
    </row>
    <row r="35" spans="1:9" x14ac:dyDescent="0.25">
      <c r="A35" s="2" t="s">
        <v>832</v>
      </c>
      <c r="B35" s="2" t="s">
        <v>11</v>
      </c>
      <c r="C35" s="2" t="s">
        <v>691</v>
      </c>
      <c r="D35" s="2" t="s">
        <v>1</v>
      </c>
      <c r="E35" s="2">
        <v>36310.088349999998</v>
      </c>
      <c r="F35" s="2">
        <v>28807.365099999999</v>
      </c>
      <c r="G35" s="2">
        <v>79.337083449999994</v>
      </c>
      <c r="H35" s="2">
        <v>4647.03</v>
      </c>
      <c r="I35" s="2">
        <v>0.25</v>
      </c>
    </row>
    <row r="36" spans="1:9" x14ac:dyDescent="0.25">
      <c r="A36" s="2" t="s">
        <v>831</v>
      </c>
      <c r="B36" s="2" t="s">
        <v>10</v>
      </c>
      <c r="C36" s="2" t="s">
        <v>692</v>
      </c>
      <c r="D36" s="2" t="s">
        <v>1</v>
      </c>
      <c r="E36" s="2">
        <v>74926.371490000005</v>
      </c>
      <c r="F36" s="2">
        <v>40843.622430000003</v>
      </c>
      <c r="G36" s="2">
        <v>54.511678089999997</v>
      </c>
      <c r="H36" s="2">
        <v>3022.93</v>
      </c>
      <c r="I36" s="2">
        <v>0.21</v>
      </c>
    </row>
    <row r="37" spans="1:9" x14ac:dyDescent="0.25">
      <c r="A37" s="2" t="s">
        <v>833</v>
      </c>
      <c r="B37" s="2" t="s">
        <v>11</v>
      </c>
      <c r="C37" s="2" t="s">
        <v>693</v>
      </c>
      <c r="D37" s="2" t="s">
        <v>1</v>
      </c>
      <c r="E37" s="2">
        <v>23890.580539999999</v>
      </c>
      <c r="F37" s="2">
        <v>14655.23266</v>
      </c>
      <c r="G37" s="2">
        <v>61.343141619999997</v>
      </c>
      <c r="H37" s="2">
        <v>3376.21</v>
      </c>
      <c r="I37" s="2">
        <v>0.22</v>
      </c>
    </row>
    <row r="38" spans="1:9" x14ac:dyDescent="0.25">
      <c r="A38" s="2" t="s">
        <v>834</v>
      </c>
      <c r="B38" s="2" t="s">
        <v>11</v>
      </c>
      <c r="C38" s="2" t="s">
        <v>694</v>
      </c>
      <c r="D38" s="2" t="s">
        <v>1</v>
      </c>
      <c r="E38" s="2">
        <v>16542.86969</v>
      </c>
      <c r="F38" s="2">
        <v>14145.52824</v>
      </c>
      <c r="G38" s="2">
        <v>85.508309609999998</v>
      </c>
      <c r="H38" s="2">
        <v>3713.62</v>
      </c>
      <c r="I38" s="2">
        <v>0.25</v>
      </c>
    </row>
    <row r="39" spans="1:9" x14ac:dyDescent="0.25">
      <c r="A39" s="2" t="s">
        <v>835</v>
      </c>
      <c r="B39" s="2" t="s">
        <v>11</v>
      </c>
      <c r="C39" s="2" t="s">
        <v>695</v>
      </c>
      <c r="D39" s="2" t="s">
        <v>1</v>
      </c>
      <c r="E39" s="2">
        <v>25515.602849999999</v>
      </c>
      <c r="F39" s="2">
        <v>14607.35859</v>
      </c>
      <c r="G39" s="2">
        <v>57.248730039999998</v>
      </c>
      <c r="H39" s="2">
        <v>3427.91</v>
      </c>
      <c r="I39" s="2">
        <v>0.22</v>
      </c>
    </row>
    <row r="40" spans="1:9" x14ac:dyDescent="0.25">
      <c r="A40" s="2" t="s">
        <v>836</v>
      </c>
      <c r="B40" s="2" t="s">
        <v>9</v>
      </c>
      <c r="C40" s="2" t="s">
        <v>685</v>
      </c>
      <c r="D40" s="2" t="s">
        <v>1</v>
      </c>
      <c r="E40" s="2">
        <v>4361.1468720000003</v>
      </c>
      <c r="F40" s="2">
        <v>2904.1046679999999</v>
      </c>
      <c r="G40" s="2">
        <v>66.590389020000003</v>
      </c>
      <c r="H40" s="2">
        <v>3439.63</v>
      </c>
      <c r="I40" s="2">
        <v>0.28999999999999998</v>
      </c>
    </row>
    <row r="41" spans="1:9" x14ac:dyDescent="0.25">
      <c r="A41" s="2" t="s">
        <v>963</v>
      </c>
      <c r="B41" s="2" t="s">
        <v>9</v>
      </c>
      <c r="C41" s="2" t="s">
        <v>686</v>
      </c>
      <c r="D41" s="2" t="s">
        <v>1</v>
      </c>
      <c r="E41" s="2">
        <v>13956.41366</v>
      </c>
      <c r="F41" s="2">
        <v>11488.28714</v>
      </c>
      <c r="G41" s="2">
        <v>82.315467400000003</v>
      </c>
      <c r="H41" s="2">
        <v>3401.29</v>
      </c>
      <c r="I41" s="2">
        <v>0.23</v>
      </c>
    </row>
    <row r="42" spans="1:9" x14ac:dyDescent="0.25">
      <c r="A42" s="2" t="s">
        <v>837</v>
      </c>
      <c r="B42" s="2" t="s">
        <v>9</v>
      </c>
      <c r="C42" s="2" t="s">
        <v>687</v>
      </c>
      <c r="D42" s="2" t="s">
        <v>1</v>
      </c>
      <c r="E42" s="2">
        <v>1157.569105</v>
      </c>
      <c r="F42" s="2">
        <v>839.21952580000004</v>
      </c>
      <c r="G42" s="2">
        <v>72.498438519999993</v>
      </c>
      <c r="H42" s="2">
        <v>4515.43</v>
      </c>
      <c r="I42" s="2">
        <v>0.37</v>
      </c>
    </row>
    <row r="43" spans="1:9" x14ac:dyDescent="0.25">
      <c r="A43" s="2" t="s">
        <v>838</v>
      </c>
      <c r="B43" s="2" t="s">
        <v>9</v>
      </c>
      <c r="C43" s="2" t="s">
        <v>688</v>
      </c>
      <c r="D43" s="2" t="s">
        <v>1</v>
      </c>
      <c r="E43" s="2">
        <v>5230.6371589999999</v>
      </c>
      <c r="F43" s="2">
        <v>4600.7065730000004</v>
      </c>
      <c r="G43" s="2">
        <v>87.956905300000003</v>
      </c>
      <c r="H43" s="2">
        <v>4102.26</v>
      </c>
      <c r="I43" s="2">
        <v>0.31</v>
      </c>
    </row>
    <row r="44" spans="1:9" x14ac:dyDescent="0.25">
      <c r="A44" s="2" t="s">
        <v>839</v>
      </c>
      <c r="B44" s="2" t="s">
        <v>9</v>
      </c>
      <c r="C44" s="2" t="s">
        <v>689</v>
      </c>
      <c r="D44" s="2" t="s">
        <v>1</v>
      </c>
      <c r="E44" s="2">
        <v>5199.1338100000003</v>
      </c>
      <c r="F44" s="2">
        <v>4551.3978580000003</v>
      </c>
      <c r="G44" s="2">
        <v>87.541464099999999</v>
      </c>
      <c r="H44" s="2">
        <v>4106.1000000000004</v>
      </c>
      <c r="I44" s="2">
        <v>0.31</v>
      </c>
    </row>
    <row r="45" spans="1:9" x14ac:dyDescent="0.25">
      <c r="A45" s="2" t="s">
        <v>840</v>
      </c>
      <c r="B45" s="2" t="s">
        <v>10</v>
      </c>
      <c r="C45" s="2" t="s">
        <v>690</v>
      </c>
      <c r="D45" s="2" t="s">
        <v>1</v>
      </c>
      <c r="E45" s="2">
        <v>13595.79948</v>
      </c>
      <c r="F45" s="2">
        <v>9912.5539050000007</v>
      </c>
      <c r="G45" s="2">
        <v>72.908944570000003</v>
      </c>
      <c r="H45" s="2">
        <v>3611.21</v>
      </c>
      <c r="I45" s="2">
        <v>0.26</v>
      </c>
    </row>
    <row r="46" spans="1:9" x14ac:dyDescent="0.25">
      <c r="A46" s="2" t="s">
        <v>841</v>
      </c>
      <c r="B46" s="2" t="s">
        <v>11</v>
      </c>
      <c r="C46" s="2" t="s">
        <v>693</v>
      </c>
      <c r="D46" s="2" t="s">
        <v>1</v>
      </c>
      <c r="E46" s="2">
        <v>26913.439750000001</v>
      </c>
      <c r="F46" s="2">
        <v>14884.250249999999</v>
      </c>
      <c r="G46" s="2">
        <v>55.3041543</v>
      </c>
      <c r="H46" s="2">
        <v>2619.63</v>
      </c>
      <c r="I46" s="2">
        <v>0.21</v>
      </c>
    </row>
    <row r="47" spans="1:9" x14ac:dyDescent="0.25">
      <c r="A47" s="2" t="s">
        <v>842</v>
      </c>
      <c r="B47" s="2" t="s">
        <v>11</v>
      </c>
      <c r="C47" s="2" t="s">
        <v>695</v>
      </c>
      <c r="D47" s="2" t="s">
        <v>1</v>
      </c>
      <c r="E47" s="2">
        <v>4871.6694450000005</v>
      </c>
      <c r="F47" s="2">
        <v>3823.7290840000001</v>
      </c>
      <c r="G47" s="2">
        <v>78.48909141</v>
      </c>
      <c r="H47" s="2">
        <v>3171.94</v>
      </c>
      <c r="I47" s="2">
        <v>0.3</v>
      </c>
    </row>
    <row r="48" spans="1:9" x14ac:dyDescent="0.25">
      <c r="A48" s="2" t="s">
        <v>843</v>
      </c>
      <c r="B48" s="2" t="s">
        <v>9</v>
      </c>
      <c r="C48" s="2" t="s">
        <v>684</v>
      </c>
      <c r="D48" s="2" t="s">
        <v>2</v>
      </c>
      <c r="E48" s="2">
        <v>178936.5441</v>
      </c>
      <c r="F48" s="2">
        <v>166496.91450000001</v>
      </c>
      <c r="G48" s="2">
        <v>93.048021779999999</v>
      </c>
      <c r="H48" s="2">
        <v>3371.94</v>
      </c>
      <c r="I48" s="2">
        <v>0.25</v>
      </c>
    </row>
    <row r="49" spans="1:9" x14ac:dyDescent="0.25">
      <c r="A49" s="2" t="s">
        <v>844</v>
      </c>
      <c r="B49" s="2" t="s">
        <v>9</v>
      </c>
      <c r="C49" s="2" t="s">
        <v>685</v>
      </c>
      <c r="D49" s="2" t="s">
        <v>2</v>
      </c>
      <c r="E49" s="2">
        <v>11353.30155</v>
      </c>
      <c r="F49" s="2">
        <v>8227.001338</v>
      </c>
      <c r="G49" s="2">
        <v>72.463514689999997</v>
      </c>
      <c r="H49" s="2">
        <v>4601.2299999999996</v>
      </c>
      <c r="I49" s="2">
        <v>0.28999999999999998</v>
      </c>
    </row>
    <row r="50" spans="1:9" x14ac:dyDescent="0.25">
      <c r="A50" s="2" t="s">
        <v>845</v>
      </c>
      <c r="B50" s="2" t="s">
        <v>9</v>
      </c>
      <c r="C50" s="2" t="s">
        <v>686</v>
      </c>
      <c r="D50" s="2" t="s">
        <v>2</v>
      </c>
      <c r="E50" s="2">
        <v>255430.16500000001</v>
      </c>
      <c r="F50" s="2">
        <v>226905.20209999999</v>
      </c>
      <c r="G50" s="2">
        <v>88.832578609999999</v>
      </c>
      <c r="H50" s="2">
        <v>3923.13</v>
      </c>
      <c r="I50" s="2">
        <v>0.24</v>
      </c>
    </row>
    <row r="51" spans="1:9" x14ac:dyDescent="0.25">
      <c r="A51" s="2" t="s">
        <v>846</v>
      </c>
      <c r="B51" s="2" t="s">
        <v>9</v>
      </c>
      <c r="C51" s="2" t="s">
        <v>687</v>
      </c>
      <c r="D51" s="2" t="s">
        <v>2</v>
      </c>
      <c r="E51" s="2">
        <v>2408.8678319999999</v>
      </c>
      <c r="F51" s="2">
        <v>1986.9996309999999</v>
      </c>
      <c r="G51" s="2">
        <v>82.48686807</v>
      </c>
      <c r="H51" s="2">
        <v>4520.74</v>
      </c>
      <c r="I51" s="2">
        <v>0.32</v>
      </c>
    </row>
    <row r="52" spans="1:9" x14ac:dyDescent="0.25">
      <c r="A52" s="2" t="s">
        <v>847</v>
      </c>
      <c r="B52" s="2" t="s">
        <v>9</v>
      </c>
      <c r="C52" s="2" t="s">
        <v>688</v>
      </c>
      <c r="D52" s="2" t="s">
        <v>2</v>
      </c>
      <c r="E52" s="2">
        <v>9424.1673989999999</v>
      </c>
      <c r="F52" s="2">
        <v>8086.9799620000003</v>
      </c>
      <c r="G52" s="2">
        <v>85.811081450000003</v>
      </c>
      <c r="H52" s="2">
        <v>3921.59</v>
      </c>
      <c r="I52" s="2">
        <v>0.26</v>
      </c>
    </row>
    <row r="53" spans="1:9" x14ac:dyDescent="0.25">
      <c r="A53" s="2" t="s">
        <v>848</v>
      </c>
      <c r="B53" s="2" t="s">
        <v>9</v>
      </c>
      <c r="C53" s="2" t="s">
        <v>689</v>
      </c>
      <c r="D53" s="2" t="s">
        <v>2</v>
      </c>
      <c r="E53" s="2">
        <v>10083.161120000001</v>
      </c>
      <c r="F53" s="2">
        <v>7387.2938549999999</v>
      </c>
      <c r="G53" s="2">
        <v>73.263669660000005</v>
      </c>
      <c r="H53" s="2">
        <v>3758.78</v>
      </c>
      <c r="I53" s="2">
        <v>0.25</v>
      </c>
    </row>
    <row r="54" spans="1:9" x14ac:dyDescent="0.25">
      <c r="A54" s="2" t="s">
        <v>849</v>
      </c>
      <c r="B54" s="2" t="s">
        <v>10</v>
      </c>
      <c r="C54" s="2" t="s">
        <v>690</v>
      </c>
      <c r="D54" s="2" t="s">
        <v>2</v>
      </c>
      <c r="E54" s="2">
        <v>370486.86</v>
      </c>
      <c r="F54" s="2">
        <v>342089.76089999999</v>
      </c>
      <c r="G54" s="2">
        <v>92.335193989999993</v>
      </c>
      <c r="H54" s="2">
        <v>2712.82</v>
      </c>
      <c r="I54" s="2">
        <v>0.19</v>
      </c>
    </row>
    <row r="55" spans="1:9" x14ac:dyDescent="0.25">
      <c r="A55" s="2" t="s">
        <v>851</v>
      </c>
      <c r="B55" s="2" t="s">
        <v>11</v>
      </c>
      <c r="C55" s="2" t="s">
        <v>691</v>
      </c>
      <c r="D55" s="2" t="s">
        <v>2</v>
      </c>
      <c r="E55" s="2">
        <v>44831.097269999998</v>
      </c>
      <c r="F55" s="2">
        <v>32463.189419999999</v>
      </c>
      <c r="G55" s="2">
        <v>72.412212499999995</v>
      </c>
      <c r="H55" s="2">
        <v>3575.63</v>
      </c>
      <c r="I55" s="2">
        <v>0.21</v>
      </c>
    </row>
    <row r="56" spans="1:9" x14ac:dyDescent="0.25">
      <c r="A56" s="2" t="s">
        <v>850</v>
      </c>
      <c r="B56" s="2" t="s">
        <v>10</v>
      </c>
      <c r="C56" s="2" t="s">
        <v>692</v>
      </c>
      <c r="D56" s="2" t="s">
        <v>2</v>
      </c>
      <c r="E56" s="2">
        <v>24475.97839</v>
      </c>
      <c r="F56" s="2">
        <v>14564.22133</v>
      </c>
      <c r="G56" s="2">
        <v>59.504143599999999</v>
      </c>
      <c r="H56" s="2">
        <v>3937.39</v>
      </c>
      <c r="I56" s="2">
        <v>0.23</v>
      </c>
    </row>
    <row r="57" spans="1:9" x14ac:dyDescent="0.25">
      <c r="A57" s="2" t="s">
        <v>852</v>
      </c>
      <c r="B57" s="2" t="s">
        <v>11</v>
      </c>
      <c r="C57" s="2" t="s">
        <v>693</v>
      </c>
      <c r="D57" s="2" t="s">
        <v>2</v>
      </c>
      <c r="E57" s="2">
        <v>14188.57525</v>
      </c>
      <c r="F57" s="2">
        <v>10233.013199999999</v>
      </c>
      <c r="G57" s="2">
        <v>72.121499279999995</v>
      </c>
      <c r="H57" s="2">
        <v>3853.46</v>
      </c>
      <c r="I57" s="2">
        <v>0.26</v>
      </c>
    </row>
    <row r="58" spans="1:9" x14ac:dyDescent="0.25">
      <c r="A58" s="2" t="s">
        <v>853</v>
      </c>
      <c r="B58" s="2" t="s">
        <v>11</v>
      </c>
      <c r="C58" s="2" t="s">
        <v>694</v>
      </c>
      <c r="D58" s="2" t="s">
        <v>2</v>
      </c>
      <c r="E58" s="2">
        <v>48605.211340000002</v>
      </c>
      <c r="F58" s="2">
        <v>40749.217900000003</v>
      </c>
      <c r="G58" s="2">
        <v>83.837137569999996</v>
      </c>
      <c r="H58" s="2">
        <v>4747.82</v>
      </c>
      <c r="I58" s="2">
        <v>0.28999999999999998</v>
      </c>
    </row>
    <row r="59" spans="1:9" x14ac:dyDescent="0.25">
      <c r="A59" s="2" t="s">
        <v>854</v>
      </c>
      <c r="B59" s="2" t="s">
        <v>11</v>
      </c>
      <c r="C59" s="2" t="s">
        <v>695</v>
      </c>
      <c r="D59" s="2" t="s">
        <v>2</v>
      </c>
      <c r="E59" s="2">
        <v>13774.51714</v>
      </c>
      <c r="F59" s="2">
        <v>11702.21264</v>
      </c>
      <c r="G59" s="2">
        <v>84.955519780000003</v>
      </c>
      <c r="H59" s="2">
        <v>3742.29</v>
      </c>
      <c r="I59" s="2">
        <v>0.26</v>
      </c>
    </row>
    <row r="60" spans="1:9" x14ac:dyDescent="0.25">
      <c r="A60" s="2" t="s">
        <v>855</v>
      </c>
      <c r="B60" s="2" t="s">
        <v>10</v>
      </c>
      <c r="C60" s="2" t="s">
        <v>690</v>
      </c>
      <c r="D60" s="2" t="s">
        <v>2</v>
      </c>
      <c r="E60" s="2">
        <v>178936.5441</v>
      </c>
      <c r="F60" s="2">
        <v>166496.91450000001</v>
      </c>
      <c r="G60" s="2">
        <v>93.048021779999999</v>
      </c>
      <c r="H60" s="2">
        <v>3376.04</v>
      </c>
      <c r="I60" s="2">
        <v>0.25</v>
      </c>
    </row>
    <row r="61" spans="1:9" x14ac:dyDescent="0.25">
      <c r="A61" s="2" t="s">
        <v>857</v>
      </c>
      <c r="B61" s="2" t="s">
        <v>11</v>
      </c>
      <c r="C61" s="2" t="s">
        <v>691</v>
      </c>
      <c r="D61" s="2" t="s">
        <v>2</v>
      </c>
      <c r="E61" s="2">
        <v>10083.161120000001</v>
      </c>
      <c r="F61" s="2">
        <v>7387.2938549999999</v>
      </c>
      <c r="G61" s="2">
        <v>73.263669660000005</v>
      </c>
      <c r="H61" s="2">
        <v>3761.84</v>
      </c>
      <c r="I61" s="2">
        <v>0.25</v>
      </c>
    </row>
    <row r="62" spans="1:9" x14ac:dyDescent="0.25">
      <c r="A62" s="2" t="s">
        <v>856</v>
      </c>
      <c r="B62" s="2" t="s">
        <v>10</v>
      </c>
      <c r="C62" s="2" t="s">
        <v>692</v>
      </c>
      <c r="D62" s="2" t="s">
        <v>2</v>
      </c>
      <c r="E62" s="2">
        <v>2408.8678319999999</v>
      </c>
      <c r="F62" s="2">
        <v>1986.9996309999999</v>
      </c>
      <c r="G62" s="2">
        <v>82.48686807</v>
      </c>
      <c r="H62" s="2">
        <v>4523.29</v>
      </c>
      <c r="I62" s="2">
        <v>0.32</v>
      </c>
    </row>
    <row r="63" spans="1:9" x14ac:dyDescent="0.25">
      <c r="A63" s="2" t="s">
        <v>858</v>
      </c>
      <c r="B63" s="2" t="s">
        <v>11</v>
      </c>
      <c r="C63" s="2" t="s">
        <v>693</v>
      </c>
      <c r="D63" s="2" t="s">
        <v>2</v>
      </c>
      <c r="E63" s="2">
        <v>255430.16500000001</v>
      </c>
      <c r="F63" s="2">
        <v>226905.20209999999</v>
      </c>
      <c r="G63" s="2">
        <v>88.832578609999999</v>
      </c>
      <c r="H63" s="2">
        <v>3922.47</v>
      </c>
      <c r="I63" s="2">
        <v>0.24</v>
      </c>
    </row>
    <row r="64" spans="1:9" x14ac:dyDescent="0.25">
      <c r="A64" s="2" t="s">
        <v>859</v>
      </c>
      <c r="B64" s="2" t="s">
        <v>11</v>
      </c>
      <c r="C64" s="2" t="s">
        <v>694</v>
      </c>
      <c r="D64" s="2" t="s">
        <v>2</v>
      </c>
      <c r="E64" s="2">
        <v>9424.1673989999999</v>
      </c>
      <c r="F64" s="2">
        <v>8086.9799620000003</v>
      </c>
      <c r="G64" s="2">
        <v>85.811081450000003</v>
      </c>
      <c r="H64" s="2">
        <v>3921.62</v>
      </c>
      <c r="I64" s="2">
        <v>0.26</v>
      </c>
    </row>
    <row r="65" spans="1:9" x14ac:dyDescent="0.25">
      <c r="A65" s="2" t="s">
        <v>860</v>
      </c>
      <c r="B65" s="2" t="s">
        <v>11</v>
      </c>
      <c r="C65" s="2" t="s">
        <v>695</v>
      </c>
      <c r="D65" s="2" t="s">
        <v>2</v>
      </c>
      <c r="E65" s="2">
        <v>11353.30155</v>
      </c>
      <c r="F65" s="2">
        <v>8227.001338</v>
      </c>
      <c r="G65" s="2">
        <v>72.463514689999997</v>
      </c>
      <c r="H65" s="2">
        <v>4602.21</v>
      </c>
      <c r="I65" s="2">
        <v>0.28999999999999998</v>
      </c>
    </row>
    <row r="66" spans="1:9" x14ac:dyDescent="0.25">
      <c r="A66" s="2" t="s">
        <v>861</v>
      </c>
      <c r="B66" s="2" t="s">
        <v>9</v>
      </c>
      <c r="C66" s="2" t="s">
        <v>684</v>
      </c>
      <c r="D66" s="2" t="s">
        <v>3</v>
      </c>
      <c r="E66" s="2">
        <v>14618.71595</v>
      </c>
      <c r="F66" s="2">
        <v>10488.393910000001</v>
      </c>
      <c r="G66" s="2">
        <v>71.746341790000002</v>
      </c>
      <c r="H66" s="2">
        <v>2998.58</v>
      </c>
      <c r="I66" s="2">
        <v>0.25</v>
      </c>
    </row>
    <row r="67" spans="1:9" x14ac:dyDescent="0.25">
      <c r="A67" s="2" t="s">
        <v>862</v>
      </c>
      <c r="B67" s="2" t="s">
        <v>9</v>
      </c>
      <c r="C67" s="2" t="s">
        <v>685</v>
      </c>
      <c r="D67" s="2" t="s">
        <v>3</v>
      </c>
      <c r="E67" s="2">
        <v>11854.749379999999</v>
      </c>
      <c r="F67" s="2">
        <v>10489.231320000001</v>
      </c>
      <c r="G67" s="2">
        <v>88.481257450000001</v>
      </c>
      <c r="H67" s="2">
        <v>2811.98</v>
      </c>
      <c r="I67" s="2">
        <v>0.24</v>
      </c>
    </row>
    <row r="68" spans="1:9" x14ac:dyDescent="0.25">
      <c r="A68" s="2" t="s">
        <v>863</v>
      </c>
      <c r="B68" s="2" t="s">
        <v>9</v>
      </c>
      <c r="C68" s="2" t="s">
        <v>687</v>
      </c>
      <c r="D68" s="2" t="s">
        <v>3</v>
      </c>
      <c r="E68" s="2">
        <v>2404.7816240000002</v>
      </c>
      <c r="F68" s="2">
        <v>729.95620259999998</v>
      </c>
      <c r="G68" s="2">
        <v>30.35436546</v>
      </c>
      <c r="H68" s="2">
        <v>3142.89</v>
      </c>
      <c r="I68" s="2">
        <v>0.28999999999999998</v>
      </c>
    </row>
    <row r="69" spans="1:9" x14ac:dyDescent="0.25">
      <c r="A69" s="2" t="s">
        <v>864</v>
      </c>
      <c r="B69" s="2" t="s">
        <v>9</v>
      </c>
      <c r="C69" s="2" t="s">
        <v>688</v>
      </c>
      <c r="D69" s="2" t="s">
        <v>3</v>
      </c>
      <c r="E69" s="2">
        <v>7144.4251530000001</v>
      </c>
      <c r="F69" s="2">
        <v>4519.8192069999996</v>
      </c>
      <c r="G69" s="2">
        <v>63.263581189999996</v>
      </c>
      <c r="H69" s="2">
        <v>3343.28</v>
      </c>
      <c r="I69" s="2">
        <v>0.26</v>
      </c>
    </row>
    <row r="70" spans="1:9" x14ac:dyDescent="0.25">
      <c r="A70" s="2" t="s">
        <v>865</v>
      </c>
      <c r="B70" s="2" t="s">
        <v>9</v>
      </c>
      <c r="C70" s="2" t="s">
        <v>689</v>
      </c>
      <c r="D70" s="2" t="s">
        <v>3</v>
      </c>
      <c r="E70" s="2">
        <v>7553.9101710000004</v>
      </c>
      <c r="F70" s="2">
        <v>5917.395947</v>
      </c>
      <c r="G70" s="2">
        <v>78.335535010000001</v>
      </c>
      <c r="H70" s="2">
        <v>3621.3</v>
      </c>
      <c r="I70" s="2">
        <v>0.26</v>
      </c>
    </row>
    <row r="71" spans="1:9" x14ac:dyDescent="0.25">
      <c r="A71" s="2" t="s">
        <v>866</v>
      </c>
      <c r="B71" s="2" t="s">
        <v>11</v>
      </c>
      <c r="C71" s="2" t="s">
        <v>691</v>
      </c>
      <c r="D71" s="2" t="s">
        <v>3</v>
      </c>
      <c r="E71" s="2">
        <v>42049.487630000003</v>
      </c>
      <c r="F71" s="2">
        <v>35457.163430000001</v>
      </c>
      <c r="G71" s="2">
        <v>84.322462479999999</v>
      </c>
      <c r="H71" s="2">
        <v>3759</v>
      </c>
      <c r="I71" s="2">
        <v>0.22</v>
      </c>
    </row>
    <row r="72" spans="1:9" x14ac:dyDescent="0.25">
      <c r="A72" s="2" t="s">
        <v>867</v>
      </c>
      <c r="B72" s="2" t="s">
        <v>11</v>
      </c>
      <c r="C72" s="2" t="s">
        <v>693</v>
      </c>
      <c r="D72" s="2" t="s">
        <v>3</v>
      </c>
      <c r="E72" s="2">
        <v>20267.1626</v>
      </c>
      <c r="F72" s="2">
        <v>15856.03599</v>
      </c>
      <c r="G72" s="2">
        <v>78.235105259999997</v>
      </c>
      <c r="H72" s="2">
        <v>4709.8100000000004</v>
      </c>
      <c r="I72" s="2">
        <v>0.28000000000000003</v>
      </c>
    </row>
    <row r="73" spans="1:9" x14ac:dyDescent="0.25">
      <c r="A73" s="2" t="s">
        <v>868</v>
      </c>
      <c r="B73" s="2" t="s">
        <v>11</v>
      </c>
      <c r="C73" s="2" t="s">
        <v>694</v>
      </c>
      <c r="D73" s="2" t="s">
        <v>3</v>
      </c>
      <c r="E73" s="2">
        <v>13808.75721</v>
      </c>
      <c r="F73" s="2">
        <v>10338.2425</v>
      </c>
      <c r="G73" s="2">
        <v>74.867291390000005</v>
      </c>
      <c r="H73" s="2">
        <v>2650.22</v>
      </c>
      <c r="I73" s="2">
        <v>0.24</v>
      </c>
    </row>
    <row r="74" spans="1:9" x14ac:dyDescent="0.25">
      <c r="A74" s="2" t="s">
        <v>869</v>
      </c>
      <c r="B74" s="2" t="s">
        <v>11</v>
      </c>
      <c r="C74" s="2" t="s">
        <v>695</v>
      </c>
      <c r="D74" s="2" t="s">
        <v>3</v>
      </c>
      <c r="E74" s="2">
        <v>27638.61807</v>
      </c>
      <c r="F74" s="2">
        <v>21845.849289999998</v>
      </c>
      <c r="G74" s="2">
        <v>79.041033220000003</v>
      </c>
      <c r="H74" s="2">
        <v>3489.99</v>
      </c>
      <c r="I74" s="2">
        <v>0.23</v>
      </c>
    </row>
    <row r="75" spans="1:9" x14ac:dyDescent="0.25">
      <c r="A75" s="2" t="s">
        <v>870</v>
      </c>
      <c r="B75" s="2" t="s">
        <v>9</v>
      </c>
      <c r="C75" s="2" t="s">
        <v>684</v>
      </c>
      <c r="D75" s="2" t="s">
        <v>3</v>
      </c>
      <c r="E75" s="2">
        <v>9929.3469580000001</v>
      </c>
      <c r="F75" s="2">
        <v>8780</v>
      </c>
      <c r="G75" s="2">
        <v>88.424747740000001</v>
      </c>
      <c r="H75" s="2">
        <v>2820.12</v>
      </c>
      <c r="I75" s="2">
        <v>0.24</v>
      </c>
    </row>
    <row r="76" spans="1:9" x14ac:dyDescent="0.25">
      <c r="A76" s="2" t="s">
        <v>871</v>
      </c>
      <c r="B76" s="2" t="s">
        <v>9</v>
      </c>
      <c r="C76" s="2" t="s">
        <v>685</v>
      </c>
      <c r="D76" s="2" t="s">
        <v>3</v>
      </c>
      <c r="E76" s="2">
        <v>284981.53879999998</v>
      </c>
      <c r="F76" s="2">
        <v>282487.00319999998</v>
      </c>
      <c r="G76" s="2">
        <v>99.12466766</v>
      </c>
      <c r="H76" s="2">
        <v>2550.96</v>
      </c>
      <c r="I76" s="2">
        <v>0.21</v>
      </c>
    </row>
    <row r="77" spans="1:9" x14ac:dyDescent="0.25">
      <c r="A77" s="2" t="s">
        <v>872</v>
      </c>
      <c r="B77" s="2" t="s">
        <v>9</v>
      </c>
      <c r="C77" s="2" t="s">
        <v>686</v>
      </c>
      <c r="D77" s="2" t="s">
        <v>3</v>
      </c>
      <c r="E77" s="2">
        <v>18119.343949999999</v>
      </c>
      <c r="F77" s="2">
        <v>13959.98603</v>
      </c>
      <c r="G77" s="2">
        <v>77.044654980000004</v>
      </c>
      <c r="H77" s="2">
        <v>3311.08</v>
      </c>
      <c r="I77" s="2">
        <v>0.22</v>
      </c>
    </row>
    <row r="78" spans="1:9" x14ac:dyDescent="0.25">
      <c r="A78" s="2" t="s">
        <v>873</v>
      </c>
      <c r="B78" s="2" t="s">
        <v>9</v>
      </c>
      <c r="C78" s="2" t="s">
        <v>687</v>
      </c>
      <c r="D78" s="2" t="s">
        <v>3</v>
      </c>
      <c r="E78" s="2">
        <v>2654.425706</v>
      </c>
      <c r="F78" s="2">
        <v>1636.6122130000001</v>
      </c>
      <c r="G78" s="2">
        <v>61.655981140000002</v>
      </c>
      <c r="H78" s="2">
        <v>3618.24</v>
      </c>
      <c r="I78" s="2">
        <v>0.28999999999999998</v>
      </c>
    </row>
    <row r="79" spans="1:9" x14ac:dyDescent="0.25">
      <c r="A79" s="2" t="s">
        <v>874</v>
      </c>
      <c r="B79" s="2" t="s">
        <v>9</v>
      </c>
      <c r="C79" s="2" t="s">
        <v>688</v>
      </c>
      <c r="D79" s="2" t="s">
        <v>3</v>
      </c>
      <c r="E79" s="2">
        <v>9171.1990420000002</v>
      </c>
      <c r="F79" s="2">
        <v>8033.8519580000002</v>
      </c>
      <c r="G79" s="2">
        <v>87.598708970000004</v>
      </c>
      <c r="H79" s="2">
        <v>3498.56</v>
      </c>
      <c r="I79" s="2">
        <v>0.26</v>
      </c>
    </row>
    <row r="80" spans="1:9" x14ac:dyDescent="0.25">
      <c r="A80" s="2" t="s">
        <v>875</v>
      </c>
      <c r="B80" s="2" t="s">
        <v>9</v>
      </c>
      <c r="C80" s="2" t="s">
        <v>689</v>
      </c>
      <c r="D80" s="2" t="s">
        <v>3</v>
      </c>
      <c r="E80" s="2">
        <v>8773.5058090000002</v>
      </c>
      <c r="F80" s="2">
        <v>7514.0701710000003</v>
      </c>
      <c r="G80" s="2">
        <v>85.645012780000002</v>
      </c>
      <c r="H80" s="2">
        <v>3282.26</v>
      </c>
      <c r="I80" s="2">
        <v>0.24</v>
      </c>
    </row>
    <row r="81" spans="1:9" x14ac:dyDescent="0.25">
      <c r="A81" s="2" t="s">
        <v>964</v>
      </c>
      <c r="B81" s="2" t="s">
        <v>9</v>
      </c>
      <c r="C81" s="2" t="s">
        <v>684</v>
      </c>
      <c r="D81" s="2" t="s">
        <v>3</v>
      </c>
      <c r="E81" s="2">
        <v>3197.37815</v>
      </c>
      <c r="F81" s="2">
        <v>2298.89653</v>
      </c>
      <c r="G81" s="2">
        <v>71.899425780000001</v>
      </c>
      <c r="H81" s="2">
        <v>2607.21</v>
      </c>
      <c r="I81" s="2">
        <v>0.28000000000000003</v>
      </c>
    </row>
    <row r="82" spans="1:9" x14ac:dyDescent="0.25">
      <c r="A82" s="2" t="s">
        <v>965</v>
      </c>
      <c r="B82" s="2" t="s">
        <v>9</v>
      </c>
      <c r="C82" s="2" t="s">
        <v>685</v>
      </c>
      <c r="D82" s="2" t="s">
        <v>3</v>
      </c>
      <c r="E82" s="2">
        <v>6435.3665360000005</v>
      </c>
      <c r="F82" s="2">
        <v>3656.5628310000002</v>
      </c>
      <c r="G82" s="2">
        <v>56.81980677</v>
      </c>
      <c r="H82" s="2">
        <v>3299.93</v>
      </c>
      <c r="I82" s="2">
        <v>0.27</v>
      </c>
    </row>
    <row r="83" spans="1:9" x14ac:dyDescent="0.25">
      <c r="A83" s="2" t="s">
        <v>966</v>
      </c>
      <c r="B83" s="2" t="s">
        <v>9</v>
      </c>
      <c r="C83" s="2" t="s">
        <v>686</v>
      </c>
      <c r="D83" s="2" t="s">
        <v>3</v>
      </c>
      <c r="E83" s="2">
        <v>22338.346160000001</v>
      </c>
      <c r="F83" s="2">
        <v>19841.745589999999</v>
      </c>
      <c r="G83" s="2">
        <v>88.823700049999999</v>
      </c>
      <c r="H83" s="2">
        <v>3098.29</v>
      </c>
      <c r="I83" s="2">
        <v>0.27</v>
      </c>
    </row>
    <row r="84" spans="1:9" x14ac:dyDescent="0.25">
      <c r="A84" s="2" t="s">
        <v>967</v>
      </c>
      <c r="B84" s="2" t="s">
        <v>9</v>
      </c>
      <c r="C84" s="2" t="s">
        <v>687</v>
      </c>
      <c r="D84" s="2" t="s">
        <v>3</v>
      </c>
      <c r="E84" s="2">
        <v>1318.575938</v>
      </c>
      <c r="F84" s="2">
        <v>1099.186602</v>
      </c>
      <c r="G84" s="2">
        <v>83.361645719999999</v>
      </c>
      <c r="H84" s="2">
        <v>2402</v>
      </c>
      <c r="I84" s="2">
        <v>0.32</v>
      </c>
    </row>
    <row r="85" spans="1:9" x14ac:dyDescent="0.25">
      <c r="A85" s="2" t="s">
        <v>968</v>
      </c>
      <c r="B85" s="2" t="s">
        <v>9</v>
      </c>
      <c r="C85" s="2" t="s">
        <v>688</v>
      </c>
      <c r="D85" s="2" t="s">
        <v>3</v>
      </c>
      <c r="E85" s="2">
        <v>5752.7515329999997</v>
      </c>
      <c r="F85" s="2">
        <v>2777.167289</v>
      </c>
      <c r="G85" s="2">
        <v>48.275460420000002</v>
      </c>
      <c r="H85" s="2">
        <v>2607.9</v>
      </c>
      <c r="I85" s="2">
        <v>0.27</v>
      </c>
    </row>
    <row r="86" spans="1:9" x14ac:dyDescent="0.25">
      <c r="A86" s="2" t="s">
        <v>969</v>
      </c>
      <c r="B86" s="2" t="s">
        <v>9</v>
      </c>
      <c r="C86" s="2" t="s">
        <v>689</v>
      </c>
      <c r="D86" s="2" t="s">
        <v>3</v>
      </c>
      <c r="E86" s="2">
        <v>5696.4681899999996</v>
      </c>
      <c r="F86" s="2">
        <v>3976.2623130000002</v>
      </c>
      <c r="G86" s="2">
        <v>69.802238529999997</v>
      </c>
      <c r="H86" s="2">
        <v>3393.44</v>
      </c>
      <c r="I86" s="2">
        <v>0.31</v>
      </c>
    </row>
    <row r="87" spans="1:9" x14ac:dyDescent="0.25">
      <c r="A87" s="2" t="s">
        <v>876</v>
      </c>
      <c r="B87" s="2" t="s">
        <v>10</v>
      </c>
      <c r="C87" s="2" t="s">
        <v>690</v>
      </c>
      <c r="D87" s="2" t="s">
        <v>4</v>
      </c>
      <c r="E87" s="2">
        <v>509397.01250000001</v>
      </c>
      <c r="F87" s="2">
        <v>508667.45929999999</v>
      </c>
      <c r="G87" s="2">
        <v>99.85678102</v>
      </c>
      <c r="H87" s="2">
        <v>3060.21</v>
      </c>
      <c r="I87" s="2">
        <v>0.2</v>
      </c>
    </row>
    <row r="88" spans="1:9" x14ac:dyDescent="0.25">
      <c r="A88" s="2" t="s">
        <v>877</v>
      </c>
      <c r="B88" s="2" t="s">
        <v>11</v>
      </c>
      <c r="C88" s="2" t="s">
        <v>691</v>
      </c>
      <c r="D88" s="2" t="s">
        <v>4</v>
      </c>
      <c r="E88" s="2">
        <v>55150.80141</v>
      </c>
      <c r="F88" s="2">
        <v>43992.894070000002</v>
      </c>
      <c r="G88" s="2">
        <v>79.768367720000001</v>
      </c>
      <c r="H88" s="2">
        <v>4054.08</v>
      </c>
      <c r="I88" s="2">
        <v>0.23</v>
      </c>
    </row>
    <row r="89" spans="1:9" x14ac:dyDescent="0.25">
      <c r="A89" s="2" t="s">
        <v>878</v>
      </c>
      <c r="B89" s="2" t="s">
        <v>11</v>
      </c>
      <c r="C89" s="2" t="s">
        <v>693</v>
      </c>
      <c r="D89" s="2" t="s">
        <v>4</v>
      </c>
      <c r="E89" s="2">
        <v>57689.236669999998</v>
      </c>
      <c r="F89" s="2">
        <v>39879.841520000002</v>
      </c>
      <c r="G89" s="2">
        <v>69.128738429999999</v>
      </c>
      <c r="H89" s="2">
        <v>3494.09</v>
      </c>
      <c r="I89" s="2">
        <v>0.22</v>
      </c>
    </row>
    <row r="90" spans="1:9" x14ac:dyDescent="0.25">
      <c r="A90" s="2" t="s">
        <v>879</v>
      </c>
      <c r="B90" s="2" t="s">
        <v>11</v>
      </c>
      <c r="C90" s="2" t="s">
        <v>694</v>
      </c>
      <c r="D90" s="2" t="s">
        <v>4</v>
      </c>
      <c r="E90" s="2">
        <v>31735.26007</v>
      </c>
      <c r="F90" s="2">
        <v>27441.275669999999</v>
      </c>
      <c r="G90" s="2">
        <v>86.46935809</v>
      </c>
      <c r="H90" s="2">
        <v>4006.32</v>
      </c>
      <c r="I90" s="2">
        <v>0.24</v>
      </c>
    </row>
    <row r="91" spans="1:9" x14ac:dyDescent="0.25">
      <c r="A91" s="2" t="s">
        <v>880</v>
      </c>
      <c r="B91" s="2" t="s">
        <v>11</v>
      </c>
      <c r="C91" s="2" t="s">
        <v>695</v>
      </c>
      <c r="D91" s="2" t="s">
        <v>4</v>
      </c>
      <c r="E91" s="2">
        <v>57758.526039999997</v>
      </c>
      <c r="F91" s="2">
        <v>40994.730960000001</v>
      </c>
      <c r="G91" s="2">
        <v>70.976068409999996</v>
      </c>
      <c r="H91" s="2">
        <v>3550.2</v>
      </c>
      <c r="I91" s="2">
        <v>0.22</v>
      </c>
    </row>
    <row r="92" spans="1:9" x14ac:dyDescent="0.25">
      <c r="A92" s="2" t="s">
        <v>881</v>
      </c>
      <c r="B92" s="2" t="s">
        <v>9</v>
      </c>
      <c r="C92" s="2" t="s">
        <v>685</v>
      </c>
      <c r="D92" s="2" t="s">
        <v>4</v>
      </c>
      <c r="E92" s="2">
        <v>8118.5386630000003</v>
      </c>
      <c r="F92" s="2">
        <v>8003.0335690000002</v>
      </c>
      <c r="G92" s="2">
        <v>98.577267419999998</v>
      </c>
      <c r="H92" s="2">
        <v>2610.41</v>
      </c>
      <c r="I92" s="2">
        <v>0.23</v>
      </c>
    </row>
    <row r="93" spans="1:9" x14ac:dyDescent="0.25">
      <c r="A93" s="2" t="s">
        <v>882</v>
      </c>
      <c r="B93" s="2" t="s">
        <v>9</v>
      </c>
      <c r="C93" s="2" t="s">
        <v>687</v>
      </c>
      <c r="D93" s="2" t="s">
        <v>4</v>
      </c>
      <c r="E93" s="2">
        <v>3302.898768</v>
      </c>
      <c r="F93" s="2">
        <v>1757.697416</v>
      </c>
      <c r="G93" s="2">
        <v>53.216811659999998</v>
      </c>
      <c r="H93" s="2">
        <v>3222.63</v>
      </c>
      <c r="I93" s="2">
        <v>0.28999999999999998</v>
      </c>
    </row>
    <row r="94" spans="1:9" x14ac:dyDescent="0.25">
      <c r="A94" s="2" t="s">
        <v>883</v>
      </c>
      <c r="B94" s="2" t="s">
        <v>9</v>
      </c>
      <c r="C94" s="2" t="s">
        <v>689</v>
      </c>
      <c r="D94" s="2" t="s">
        <v>4</v>
      </c>
      <c r="E94" s="2">
        <v>11757.64847</v>
      </c>
      <c r="F94" s="2">
        <v>9988.7014689999996</v>
      </c>
      <c r="G94" s="2">
        <v>84.954925250000002</v>
      </c>
      <c r="H94" s="2">
        <v>2899.7</v>
      </c>
      <c r="I94" s="2">
        <v>0.23</v>
      </c>
    </row>
    <row r="95" spans="1:9" x14ac:dyDescent="0.25">
      <c r="A95" s="2" t="s">
        <v>889</v>
      </c>
      <c r="B95" s="2" t="s">
        <v>11</v>
      </c>
      <c r="C95" s="2" t="s">
        <v>695</v>
      </c>
      <c r="D95" s="2" t="s">
        <v>4</v>
      </c>
      <c r="E95" s="2">
        <v>76490.079440000001</v>
      </c>
      <c r="F95" s="2">
        <v>23613.245770000001</v>
      </c>
      <c r="G95" s="2">
        <v>30.8709913</v>
      </c>
      <c r="H95" s="2">
        <v>3581.91</v>
      </c>
      <c r="I95" s="2">
        <v>0.22</v>
      </c>
    </row>
    <row r="96" spans="1:9" x14ac:dyDescent="0.25">
      <c r="A96" s="2" t="s">
        <v>884</v>
      </c>
      <c r="B96" s="2" t="s">
        <v>10</v>
      </c>
      <c r="C96" s="2" t="s">
        <v>690</v>
      </c>
      <c r="D96" s="2" t="s">
        <v>4</v>
      </c>
      <c r="E96" s="2">
        <v>477998.98109999998</v>
      </c>
      <c r="F96" s="2">
        <v>400823.39069999999</v>
      </c>
      <c r="G96" s="2">
        <v>83.854444580000006</v>
      </c>
      <c r="H96" s="2">
        <v>3308.27</v>
      </c>
      <c r="I96" s="2">
        <v>0.21</v>
      </c>
    </row>
    <row r="97" spans="1:9" x14ac:dyDescent="0.25">
      <c r="A97" s="2" t="s">
        <v>886</v>
      </c>
      <c r="B97" s="2" t="s">
        <v>11</v>
      </c>
      <c r="C97" s="2" t="s">
        <v>691</v>
      </c>
      <c r="D97" s="2" t="s">
        <v>4</v>
      </c>
      <c r="E97" s="2">
        <v>59564.639179999998</v>
      </c>
      <c r="F97" s="2">
        <v>39525.297189999997</v>
      </c>
      <c r="G97" s="2">
        <v>66.356982479999999</v>
      </c>
      <c r="H97" s="2">
        <v>4273.26</v>
      </c>
      <c r="I97" s="2">
        <v>0.22</v>
      </c>
    </row>
    <row r="98" spans="1:9" x14ac:dyDescent="0.25">
      <c r="A98" s="2" t="s">
        <v>885</v>
      </c>
      <c r="B98" s="2" t="s">
        <v>10</v>
      </c>
      <c r="C98" s="2" t="s">
        <v>692</v>
      </c>
      <c r="D98" s="2" t="s">
        <v>4</v>
      </c>
      <c r="E98" s="2">
        <v>98501.711899999995</v>
      </c>
      <c r="F98" s="2">
        <v>21138.097570000002</v>
      </c>
      <c r="G98" s="2">
        <v>21.459624569999999</v>
      </c>
      <c r="H98" s="2">
        <v>3137.65</v>
      </c>
      <c r="I98" s="2">
        <v>0.19</v>
      </c>
    </row>
    <row r="99" spans="1:9" x14ac:dyDescent="0.25">
      <c r="A99" s="2" t="s">
        <v>887</v>
      </c>
      <c r="B99" s="2" t="s">
        <v>11</v>
      </c>
      <c r="C99" s="2" t="s">
        <v>693</v>
      </c>
      <c r="D99" s="2" t="s">
        <v>4</v>
      </c>
      <c r="E99" s="2">
        <v>51468.455950000003</v>
      </c>
      <c r="F99" s="2">
        <v>17913.8141</v>
      </c>
      <c r="G99" s="2">
        <v>34.805423570000002</v>
      </c>
      <c r="H99" s="2">
        <v>4704.3</v>
      </c>
      <c r="I99" s="2">
        <v>0.24</v>
      </c>
    </row>
    <row r="100" spans="1:9" x14ac:dyDescent="0.25">
      <c r="A100" s="2" t="s">
        <v>888</v>
      </c>
      <c r="B100" s="2" t="s">
        <v>11</v>
      </c>
      <c r="C100" s="2" t="s">
        <v>694</v>
      </c>
      <c r="D100" s="2" t="s">
        <v>4</v>
      </c>
      <c r="E100" s="2">
        <v>16857.969860000001</v>
      </c>
      <c r="F100" s="2">
        <v>9579.3086930000009</v>
      </c>
      <c r="G100" s="2">
        <v>56.823619770000001</v>
      </c>
      <c r="H100" s="2">
        <v>3116.58</v>
      </c>
      <c r="I100" s="2">
        <v>0.26</v>
      </c>
    </row>
    <row r="101" spans="1:9" x14ac:dyDescent="0.25">
      <c r="A101" s="2" t="s">
        <v>890</v>
      </c>
      <c r="B101" s="2" t="s">
        <v>9</v>
      </c>
      <c r="C101" s="2" t="s">
        <v>684</v>
      </c>
      <c r="D101" s="2" t="s">
        <v>4</v>
      </c>
      <c r="E101" s="2">
        <v>269229.23119999998</v>
      </c>
      <c r="F101" s="2">
        <v>205557.3854</v>
      </c>
      <c r="G101" s="2">
        <v>76.350322160000005</v>
      </c>
      <c r="H101" s="2">
        <v>3290.88</v>
      </c>
      <c r="I101" s="2">
        <v>0.23</v>
      </c>
    </row>
    <row r="102" spans="1:9" x14ac:dyDescent="0.25">
      <c r="A102" s="2" t="s">
        <v>891</v>
      </c>
      <c r="B102" s="2" t="s">
        <v>9</v>
      </c>
      <c r="C102" s="2" t="s">
        <v>685</v>
      </c>
      <c r="D102" s="2" t="s">
        <v>4</v>
      </c>
      <c r="E102" s="2">
        <v>18005.858649999998</v>
      </c>
      <c r="F102" s="2">
        <v>10059.1775</v>
      </c>
      <c r="G102" s="2">
        <v>55.866136109999999</v>
      </c>
      <c r="H102" s="2">
        <v>3288.35</v>
      </c>
      <c r="I102" s="2">
        <v>0.25</v>
      </c>
    </row>
    <row r="103" spans="1:9" x14ac:dyDescent="0.25">
      <c r="A103" s="2" t="s">
        <v>892</v>
      </c>
      <c r="B103" s="2" t="s">
        <v>9</v>
      </c>
      <c r="C103" s="2" t="s">
        <v>686</v>
      </c>
      <c r="D103" s="2" t="s">
        <v>4</v>
      </c>
      <c r="E103" s="2">
        <v>82486.676380000004</v>
      </c>
      <c r="F103" s="2">
        <v>41805.552779999998</v>
      </c>
      <c r="G103" s="2">
        <v>50.681582310000003</v>
      </c>
      <c r="H103" s="2">
        <v>3725.81</v>
      </c>
      <c r="I103" s="2">
        <v>0.22</v>
      </c>
    </row>
    <row r="104" spans="1:9" x14ac:dyDescent="0.25">
      <c r="A104" s="2" t="s">
        <v>893</v>
      </c>
      <c r="B104" s="2" t="s">
        <v>9</v>
      </c>
      <c r="C104" s="2" t="s">
        <v>687</v>
      </c>
      <c r="D104" s="2" t="s">
        <v>4</v>
      </c>
      <c r="E104" s="2">
        <v>1968.031968</v>
      </c>
      <c r="F104" s="2">
        <v>1219.560958</v>
      </c>
      <c r="G104" s="2">
        <v>61.968554259999998</v>
      </c>
      <c r="H104" s="2">
        <v>2590.9299999999998</v>
      </c>
      <c r="I104" s="2">
        <v>0.28999999999999998</v>
      </c>
    </row>
    <row r="105" spans="1:9" x14ac:dyDescent="0.25">
      <c r="A105" s="2" t="s">
        <v>894</v>
      </c>
      <c r="B105" s="2" t="s">
        <v>9</v>
      </c>
      <c r="C105" s="2" t="s">
        <v>688</v>
      </c>
      <c r="D105" s="2" t="s">
        <v>4</v>
      </c>
      <c r="E105" s="2">
        <v>11844.29787</v>
      </c>
      <c r="F105" s="2">
        <v>5398.8783110000004</v>
      </c>
      <c r="G105" s="2">
        <v>45.582088259999999</v>
      </c>
      <c r="H105" s="2">
        <v>2772.22</v>
      </c>
      <c r="I105" s="2">
        <v>0.24</v>
      </c>
    </row>
    <row r="106" spans="1:9" x14ac:dyDescent="0.25">
      <c r="A106" s="2" t="s">
        <v>895</v>
      </c>
      <c r="B106" s="2" t="s">
        <v>9</v>
      </c>
      <c r="C106" s="2" t="s">
        <v>689</v>
      </c>
      <c r="D106" s="2" t="s">
        <v>4</v>
      </c>
      <c r="E106" s="2">
        <v>11048.45551</v>
      </c>
      <c r="F106" s="2">
        <v>5349.7860090000004</v>
      </c>
      <c r="G106" s="2">
        <v>48.421120969999997</v>
      </c>
      <c r="H106" s="2">
        <v>2919.42</v>
      </c>
      <c r="I106" s="2">
        <v>0.24</v>
      </c>
    </row>
    <row r="107" spans="1:9" x14ac:dyDescent="0.25">
      <c r="A107" s="2" t="s">
        <v>896</v>
      </c>
      <c r="B107" s="2" t="s">
        <v>10</v>
      </c>
      <c r="C107" s="2" t="s">
        <v>690</v>
      </c>
      <c r="D107" s="2" t="s">
        <v>5</v>
      </c>
      <c r="E107" s="2">
        <v>616342.7156</v>
      </c>
      <c r="F107" s="2">
        <v>418776.52929999999</v>
      </c>
      <c r="G107" s="2">
        <v>67.945400950000007</v>
      </c>
      <c r="H107" s="2">
        <v>2983.67</v>
      </c>
      <c r="I107" s="2">
        <v>0.21</v>
      </c>
    </row>
    <row r="108" spans="1:9" x14ac:dyDescent="0.25">
      <c r="A108" s="2" t="s">
        <v>898</v>
      </c>
      <c r="B108" s="2" t="s">
        <v>11</v>
      </c>
      <c r="C108" s="2" t="s">
        <v>691</v>
      </c>
      <c r="D108" s="2" t="s">
        <v>5</v>
      </c>
      <c r="E108" s="2">
        <v>37753.930619999999</v>
      </c>
      <c r="F108" s="2">
        <v>23727.29088</v>
      </c>
      <c r="G108" s="2">
        <v>62.84720686</v>
      </c>
      <c r="H108" s="2">
        <v>3917.43</v>
      </c>
      <c r="I108" s="2">
        <v>0.23</v>
      </c>
    </row>
    <row r="109" spans="1:9" x14ac:dyDescent="0.25">
      <c r="A109" s="2" t="s">
        <v>897</v>
      </c>
      <c r="B109" s="2" t="s">
        <v>10</v>
      </c>
      <c r="C109" s="2" t="s">
        <v>692</v>
      </c>
      <c r="D109" s="2" t="s">
        <v>5</v>
      </c>
      <c r="E109" s="2">
        <v>191350.13089999999</v>
      </c>
      <c r="F109" s="2">
        <v>73494.480930000005</v>
      </c>
      <c r="G109" s="2">
        <v>38.408377659999999</v>
      </c>
      <c r="H109" s="2">
        <v>2158.6</v>
      </c>
      <c r="I109" s="2">
        <v>0.18</v>
      </c>
    </row>
    <row r="110" spans="1:9" x14ac:dyDescent="0.25">
      <c r="A110" s="2" t="s">
        <v>899</v>
      </c>
      <c r="B110" s="2" t="s">
        <v>11</v>
      </c>
      <c r="C110" s="2" t="s">
        <v>693</v>
      </c>
      <c r="D110" s="2" t="s">
        <v>5</v>
      </c>
      <c r="E110" s="2">
        <v>145997.72270000001</v>
      </c>
      <c r="F110" s="2">
        <v>45494.915630000003</v>
      </c>
      <c r="G110" s="2">
        <v>31.161387170000001</v>
      </c>
      <c r="H110" s="2">
        <v>4665.76</v>
      </c>
      <c r="I110" s="2">
        <v>0.25</v>
      </c>
    </row>
    <row r="111" spans="1:9" x14ac:dyDescent="0.25">
      <c r="A111" s="2" t="s">
        <v>900</v>
      </c>
      <c r="B111" s="2" t="s">
        <v>11</v>
      </c>
      <c r="C111" s="2" t="s">
        <v>694</v>
      </c>
      <c r="D111" s="2" t="s">
        <v>5</v>
      </c>
      <c r="E111" s="2">
        <v>18534.99555</v>
      </c>
      <c r="F111" s="2">
        <v>10651.57278</v>
      </c>
      <c r="G111" s="2">
        <v>57.467360859999999</v>
      </c>
      <c r="H111" s="2">
        <v>3644.07</v>
      </c>
      <c r="I111" s="2">
        <v>0.25</v>
      </c>
    </row>
    <row r="112" spans="1:9" x14ac:dyDescent="0.25">
      <c r="A112" s="2" t="s">
        <v>901</v>
      </c>
      <c r="B112" s="2" t="s">
        <v>11</v>
      </c>
      <c r="C112" s="2" t="s">
        <v>695</v>
      </c>
      <c r="D112" s="2" t="s">
        <v>5</v>
      </c>
      <c r="E112" s="2">
        <v>159366.44899999999</v>
      </c>
      <c r="F112" s="2">
        <v>30853.212289999999</v>
      </c>
      <c r="G112" s="2">
        <v>19.359917029999998</v>
      </c>
      <c r="H112" s="2">
        <v>2726.98</v>
      </c>
      <c r="I112" s="2">
        <v>0.2</v>
      </c>
    </row>
    <row r="113" spans="1:9" x14ac:dyDescent="0.25">
      <c r="A113" s="2" t="s">
        <v>902</v>
      </c>
      <c r="B113" s="2" t="s">
        <v>9</v>
      </c>
      <c r="C113" s="2" t="s">
        <v>684</v>
      </c>
      <c r="D113" s="2" t="s">
        <v>5</v>
      </c>
      <c r="E113" s="2">
        <v>312796.20850000001</v>
      </c>
      <c r="F113" s="2">
        <v>242335.76639999999</v>
      </c>
      <c r="G113" s="2">
        <v>77.47401017</v>
      </c>
      <c r="H113" s="2">
        <v>3913.05</v>
      </c>
      <c r="I113" s="2">
        <v>0.24</v>
      </c>
    </row>
    <row r="114" spans="1:9" x14ac:dyDescent="0.25">
      <c r="A114" s="2" t="s">
        <v>903</v>
      </c>
      <c r="B114" s="2" t="s">
        <v>9</v>
      </c>
      <c r="C114" s="2" t="s">
        <v>685</v>
      </c>
      <c r="D114" s="2" t="s">
        <v>5</v>
      </c>
      <c r="E114" s="2">
        <v>315906.29590000003</v>
      </c>
      <c r="F114" s="2">
        <v>290866.37</v>
      </c>
      <c r="G114" s="2">
        <v>92.073622400000005</v>
      </c>
      <c r="H114" s="2">
        <v>3692.55</v>
      </c>
      <c r="I114" s="2">
        <v>0.25</v>
      </c>
    </row>
    <row r="115" spans="1:9" x14ac:dyDescent="0.25">
      <c r="A115" s="2" t="s">
        <v>904</v>
      </c>
      <c r="B115" s="2" t="s">
        <v>9</v>
      </c>
      <c r="C115" s="2" t="s">
        <v>686</v>
      </c>
      <c r="D115" s="2" t="s">
        <v>5</v>
      </c>
      <c r="E115" s="2">
        <v>36625.238720000001</v>
      </c>
      <c r="F115" s="2">
        <v>28870.184140000001</v>
      </c>
      <c r="G115" s="2">
        <v>78.825927550000003</v>
      </c>
      <c r="H115" s="2">
        <v>2497.29</v>
      </c>
      <c r="I115" s="2">
        <v>0.19</v>
      </c>
    </row>
    <row r="116" spans="1:9" x14ac:dyDescent="0.25">
      <c r="A116" s="2" t="s">
        <v>905</v>
      </c>
      <c r="B116" s="2" t="s">
        <v>9</v>
      </c>
      <c r="C116" s="2" t="s">
        <v>687</v>
      </c>
      <c r="D116" s="2" t="s">
        <v>5</v>
      </c>
      <c r="E116" s="2">
        <v>1369.657586</v>
      </c>
      <c r="F116" s="2">
        <v>589.81126040000004</v>
      </c>
      <c r="G116" s="2">
        <v>43.062679799999998</v>
      </c>
      <c r="H116" s="2">
        <v>3641.13</v>
      </c>
      <c r="I116" s="2">
        <v>0.35</v>
      </c>
    </row>
    <row r="117" spans="1:9" x14ac:dyDescent="0.25">
      <c r="A117" s="2" t="s">
        <v>906</v>
      </c>
      <c r="B117" s="2" t="s">
        <v>9</v>
      </c>
      <c r="C117" s="2" t="s">
        <v>688</v>
      </c>
      <c r="D117" s="2" t="s">
        <v>5</v>
      </c>
      <c r="E117" s="2">
        <v>24849.00604</v>
      </c>
      <c r="F117" s="2">
        <v>8288.9224400000003</v>
      </c>
      <c r="G117" s="2">
        <v>33.357158939999998</v>
      </c>
      <c r="H117" s="2">
        <v>4251.17</v>
      </c>
      <c r="I117" s="2">
        <v>0.25</v>
      </c>
    </row>
    <row r="118" spans="1:9" x14ac:dyDescent="0.25">
      <c r="A118" s="2" t="s">
        <v>907</v>
      </c>
      <c r="B118" s="2" t="s">
        <v>9</v>
      </c>
      <c r="C118" s="2" t="s">
        <v>689</v>
      </c>
      <c r="D118" s="2" t="s">
        <v>5</v>
      </c>
      <c r="E118" s="2">
        <v>15276.791869999999</v>
      </c>
      <c r="F118" s="2">
        <v>6448.5168409999997</v>
      </c>
      <c r="G118" s="2">
        <v>42.211197839999997</v>
      </c>
      <c r="H118" s="2">
        <v>3500.4</v>
      </c>
      <c r="I118" s="2">
        <v>0.25</v>
      </c>
    </row>
    <row r="119" spans="1:9" x14ac:dyDescent="0.25">
      <c r="A119" s="2" t="s">
        <v>908</v>
      </c>
      <c r="B119" s="2" t="s">
        <v>10</v>
      </c>
      <c r="C119" s="2" t="s">
        <v>690</v>
      </c>
      <c r="D119" s="2" t="s">
        <v>6</v>
      </c>
      <c r="E119" s="2">
        <v>1176922.77</v>
      </c>
      <c r="F119" s="2">
        <v>771810.67290000001</v>
      </c>
      <c r="G119" s="2">
        <v>65.57870174</v>
      </c>
      <c r="H119" s="2">
        <v>3451.08</v>
      </c>
      <c r="I119" s="2">
        <v>0.22</v>
      </c>
    </row>
    <row r="120" spans="1:9" x14ac:dyDescent="0.25">
      <c r="A120" s="2" t="s">
        <v>910</v>
      </c>
      <c r="B120" s="2" t="s">
        <v>11</v>
      </c>
      <c r="C120" s="2" t="s">
        <v>691</v>
      </c>
      <c r="D120" s="2" t="s">
        <v>6</v>
      </c>
      <c r="E120" s="2">
        <v>176231.10310000001</v>
      </c>
      <c r="F120" s="2">
        <v>157137.8639</v>
      </c>
      <c r="G120" s="2">
        <v>89.165794849999997</v>
      </c>
      <c r="H120" s="2">
        <v>3062.85</v>
      </c>
      <c r="I120" s="2">
        <v>0.25</v>
      </c>
    </row>
    <row r="121" spans="1:9" x14ac:dyDescent="0.25">
      <c r="A121" s="2" t="s">
        <v>909</v>
      </c>
      <c r="B121" s="2" t="s">
        <v>10</v>
      </c>
      <c r="C121" s="2" t="s">
        <v>692</v>
      </c>
      <c r="D121" s="2" t="s">
        <v>6</v>
      </c>
      <c r="E121" s="2">
        <v>235141.5</v>
      </c>
      <c r="F121" s="2">
        <v>197754.33549999999</v>
      </c>
      <c r="G121" s="2">
        <v>84.100142030000001</v>
      </c>
      <c r="H121" s="2">
        <v>3346.21</v>
      </c>
      <c r="I121" s="2">
        <v>0.21</v>
      </c>
    </row>
    <row r="122" spans="1:9" x14ac:dyDescent="0.25">
      <c r="A122" s="2" t="s">
        <v>911</v>
      </c>
      <c r="B122" s="2" t="s">
        <v>11</v>
      </c>
      <c r="C122" s="2" t="s">
        <v>693</v>
      </c>
      <c r="D122" s="2" t="s">
        <v>6</v>
      </c>
      <c r="E122" s="2">
        <v>297792.79460000002</v>
      </c>
      <c r="F122" s="2">
        <v>178214.85620000001</v>
      </c>
      <c r="G122" s="2">
        <v>59.84525464</v>
      </c>
      <c r="H122" s="2">
        <v>4011.44</v>
      </c>
      <c r="I122" s="2">
        <v>0.22</v>
      </c>
    </row>
    <row r="123" spans="1:9" x14ac:dyDescent="0.25">
      <c r="A123" s="2" t="s">
        <v>912</v>
      </c>
      <c r="B123" s="2" t="s">
        <v>11</v>
      </c>
      <c r="C123" s="2" t="s">
        <v>694</v>
      </c>
      <c r="D123" s="2" t="s">
        <v>6</v>
      </c>
      <c r="E123" s="2">
        <v>13661.28404</v>
      </c>
      <c r="F123" s="2">
        <v>7340.5307149999999</v>
      </c>
      <c r="G123" s="2">
        <v>53.732362879999997</v>
      </c>
      <c r="H123" s="2">
        <v>3708.16</v>
      </c>
      <c r="I123" s="2">
        <v>0.26</v>
      </c>
    </row>
    <row r="124" spans="1:9" x14ac:dyDescent="0.25">
      <c r="A124" s="2" t="s">
        <v>913</v>
      </c>
      <c r="B124" s="2" t="s">
        <v>11</v>
      </c>
      <c r="C124" s="2" t="s">
        <v>695</v>
      </c>
      <c r="D124" s="2" t="s">
        <v>6</v>
      </c>
      <c r="E124" s="2">
        <v>152701.5429</v>
      </c>
      <c r="F124" s="2">
        <v>74686.641699999993</v>
      </c>
      <c r="G124" s="2">
        <v>48.910207640000003</v>
      </c>
      <c r="H124" s="2">
        <v>3714.91</v>
      </c>
      <c r="I124" s="2">
        <v>0.21</v>
      </c>
    </row>
    <row r="125" spans="1:9" x14ac:dyDescent="0.25">
      <c r="A125" s="2" t="s">
        <v>914</v>
      </c>
      <c r="B125" s="2" t="s">
        <v>9</v>
      </c>
      <c r="C125" s="2" t="s">
        <v>684</v>
      </c>
      <c r="D125" s="2" t="s">
        <v>6</v>
      </c>
      <c r="E125" s="2">
        <v>256440.45629999999</v>
      </c>
      <c r="F125" s="2">
        <v>225682.8365</v>
      </c>
      <c r="G125" s="2">
        <v>88.005940929999994</v>
      </c>
      <c r="H125" s="2">
        <v>3239.85</v>
      </c>
      <c r="I125" s="2">
        <v>0.24</v>
      </c>
    </row>
    <row r="126" spans="1:9" x14ac:dyDescent="0.25">
      <c r="A126" s="2" t="s">
        <v>915</v>
      </c>
      <c r="B126" s="2" t="s">
        <v>9</v>
      </c>
      <c r="C126" s="2" t="s">
        <v>685</v>
      </c>
      <c r="D126" s="2" t="s">
        <v>6</v>
      </c>
      <c r="E126" s="2">
        <v>278094.9339</v>
      </c>
      <c r="F126" s="2">
        <v>238694.21979999999</v>
      </c>
      <c r="G126" s="2">
        <v>85.831919499999998</v>
      </c>
      <c r="H126" s="2">
        <v>3059.53</v>
      </c>
      <c r="I126" s="2">
        <v>0.28000000000000003</v>
      </c>
    </row>
    <row r="127" spans="1:9" x14ac:dyDescent="0.25">
      <c r="A127" s="2" t="s">
        <v>916</v>
      </c>
      <c r="B127" s="2" t="s">
        <v>9</v>
      </c>
      <c r="C127" s="2" t="s">
        <v>686</v>
      </c>
      <c r="D127" s="2" t="s">
        <v>6</v>
      </c>
      <c r="E127" s="2">
        <v>2468427.52</v>
      </c>
      <c r="F127" s="2">
        <v>2384764.4929999998</v>
      </c>
      <c r="G127" s="2">
        <v>96.610675180000001</v>
      </c>
      <c r="H127" s="2">
        <v>1352.81</v>
      </c>
      <c r="I127" s="2">
        <v>0.17</v>
      </c>
    </row>
    <row r="128" spans="1:9" x14ac:dyDescent="0.25">
      <c r="A128" s="2" t="s">
        <v>917</v>
      </c>
      <c r="B128" s="2" t="s">
        <v>9</v>
      </c>
      <c r="C128" s="2" t="s">
        <v>687</v>
      </c>
      <c r="D128" s="2" t="s">
        <v>6</v>
      </c>
      <c r="E128" s="2">
        <v>3603.2259349999999</v>
      </c>
      <c r="F128" s="2">
        <v>469.52108850000002</v>
      </c>
      <c r="G128" s="2">
        <v>13.03057585</v>
      </c>
      <c r="H128" s="2">
        <v>2626.81</v>
      </c>
      <c r="I128" s="2">
        <v>0.25</v>
      </c>
    </row>
    <row r="129" spans="1:9" x14ac:dyDescent="0.25">
      <c r="A129" s="2" t="s">
        <v>918</v>
      </c>
      <c r="B129" s="2" t="s">
        <v>9</v>
      </c>
      <c r="C129" s="2" t="s">
        <v>688</v>
      </c>
      <c r="D129" s="2" t="s">
        <v>6</v>
      </c>
      <c r="E129" s="2">
        <v>21432.70709</v>
      </c>
      <c r="F129" s="2">
        <v>9534.4588320000003</v>
      </c>
      <c r="G129" s="2">
        <v>44.485555609999999</v>
      </c>
      <c r="H129" s="2">
        <v>3984.43</v>
      </c>
      <c r="I129" s="2">
        <v>0.26</v>
      </c>
    </row>
    <row r="130" spans="1:9" x14ac:dyDescent="0.25">
      <c r="A130" s="2" t="s">
        <v>919</v>
      </c>
      <c r="B130" s="2" t="s">
        <v>9</v>
      </c>
      <c r="C130" s="2" t="s">
        <v>689</v>
      </c>
      <c r="D130" s="2" t="s">
        <v>6</v>
      </c>
      <c r="E130" s="2">
        <v>15230.45292</v>
      </c>
      <c r="F130" s="2">
        <v>7600.3475589999998</v>
      </c>
      <c r="G130" s="2">
        <v>49.902308210000001</v>
      </c>
      <c r="H130" s="2">
        <v>4064.67</v>
      </c>
      <c r="I130" s="2">
        <v>0.26</v>
      </c>
    </row>
    <row r="131" spans="1:9" x14ac:dyDescent="0.25">
      <c r="A131" s="2" t="s">
        <v>920</v>
      </c>
      <c r="B131" s="2" t="s">
        <v>10</v>
      </c>
      <c r="C131" s="2" t="s">
        <v>690</v>
      </c>
      <c r="D131" s="2" t="s">
        <v>6</v>
      </c>
      <c r="E131" s="2">
        <v>628149.24419999996</v>
      </c>
      <c r="F131" s="2">
        <v>455815.53269999998</v>
      </c>
      <c r="G131" s="2">
        <v>72.564846160000002</v>
      </c>
      <c r="H131" s="2">
        <v>2993.63</v>
      </c>
      <c r="I131" s="2">
        <v>0.2</v>
      </c>
    </row>
    <row r="132" spans="1:9" x14ac:dyDescent="0.25">
      <c r="A132" s="2" t="s">
        <v>922</v>
      </c>
      <c r="B132" s="2" t="s">
        <v>11</v>
      </c>
      <c r="C132" s="2" t="s">
        <v>691</v>
      </c>
      <c r="D132" s="2" t="s">
        <v>6</v>
      </c>
      <c r="E132" s="2">
        <v>256327.09270000001</v>
      </c>
      <c r="F132" s="2">
        <v>224793.3554</v>
      </c>
      <c r="G132" s="2">
        <v>87.697852389999994</v>
      </c>
      <c r="H132" s="2">
        <v>3159.03</v>
      </c>
      <c r="I132" s="2">
        <v>0.23</v>
      </c>
    </row>
    <row r="133" spans="1:9" x14ac:dyDescent="0.25">
      <c r="A133" s="2" t="s">
        <v>921</v>
      </c>
      <c r="B133" s="2" t="s">
        <v>10</v>
      </c>
      <c r="C133" s="2" t="s">
        <v>692</v>
      </c>
      <c r="D133" s="2" t="s">
        <v>6</v>
      </c>
      <c r="E133" s="2">
        <v>177295.33240000001</v>
      </c>
      <c r="F133" s="2">
        <v>76533.517129999993</v>
      </c>
      <c r="G133" s="2">
        <v>43.167248720000003</v>
      </c>
      <c r="H133" s="2">
        <v>3131.15</v>
      </c>
      <c r="I133" s="2">
        <v>0.22</v>
      </c>
    </row>
    <row r="134" spans="1:9" x14ac:dyDescent="0.25">
      <c r="A134" s="2" t="s">
        <v>923</v>
      </c>
      <c r="B134" s="2" t="s">
        <v>11</v>
      </c>
      <c r="C134" s="2" t="s">
        <v>693</v>
      </c>
      <c r="D134" s="2" t="s">
        <v>6</v>
      </c>
      <c r="E134" s="2">
        <v>262198.04350000003</v>
      </c>
      <c r="F134" s="2">
        <v>206341.91639999999</v>
      </c>
      <c r="G134" s="2">
        <v>78.696970269999994</v>
      </c>
      <c r="H134" s="2">
        <v>3031.6</v>
      </c>
      <c r="I134" s="2">
        <v>0.2</v>
      </c>
    </row>
    <row r="135" spans="1:9" x14ac:dyDescent="0.25">
      <c r="A135" s="2" t="s">
        <v>924</v>
      </c>
      <c r="B135" s="2" t="s">
        <v>11</v>
      </c>
      <c r="C135" s="2" t="s">
        <v>694</v>
      </c>
      <c r="D135" s="2" t="s">
        <v>6</v>
      </c>
      <c r="E135" s="2">
        <v>11603.87062</v>
      </c>
      <c r="F135" s="2">
        <v>4841.430668</v>
      </c>
      <c r="G135" s="2">
        <v>41.722549540000003</v>
      </c>
      <c r="H135" s="2">
        <v>3580.42</v>
      </c>
      <c r="I135" s="2">
        <v>0.26</v>
      </c>
    </row>
    <row r="136" spans="1:9" x14ac:dyDescent="0.25">
      <c r="A136" s="2" t="s">
        <v>925</v>
      </c>
      <c r="B136" s="2" t="s">
        <v>11</v>
      </c>
      <c r="C136" s="2" t="s">
        <v>695</v>
      </c>
      <c r="D136" s="2" t="s">
        <v>6</v>
      </c>
      <c r="E136" s="2">
        <v>118186.35769999999</v>
      </c>
      <c r="F136" s="2">
        <v>59833.839269999997</v>
      </c>
      <c r="G136" s="2">
        <v>50.62668858</v>
      </c>
      <c r="H136" s="2">
        <v>3242.77</v>
      </c>
      <c r="I136" s="2">
        <v>0.21</v>
      </c>
    </row>
    <row r="137" spans="1:9" x14ac:dyDescent="0.25">
      <c r="A137" s="2" t="s">
        <v>926</v>
      </c>
      <c r="B137" s="2" t="s">
        <v>9</v>
      </c>
      <c r="C137" s="2" t="s">
        <v>684</v>
      </c>
      <c r="D137" s="2" t="s">
        <v>7</v>
      </c>
      <c r="E137" s="2">
        <v>22946.461589999999</v>
      </c>
      <c r="F137" s="2">
        <v>10729.80668</v>
      </c>
      <c r="G137" s="2">
        <v>46.760179749999999</v>
      </c>
      <c r="H137" s="2">
        <v>2344.5500000000002</v>
      </c>
      <c r="I137" s="2">
        <v>0.19</v>
      </c>
    </row>
    <row r="138" spans="1:9" x14ac:dyDescent="0.25">
      <c r="A138" s="2" t="s">
        <v>927</v>
      </c>
      <c r="B138" s="2" t="s">
        <v>9</v>
      </c>
      <c r="C138" s="2" t="s">
        <v>685</v>
      </c>
      <c r="D138" s="2" t="s">
        <v>7</v>
      </c>
      <c r="E138" s="2">
        <v>197655.2592</v>
      </c>
      <c r="F138" s="2">
        <v>157090.76379999999</v>
      </c>
      <c r="G138" s="2">
        <v>79.477148450000001</v>
      </c>
      <c r="H138" s="2">
        <v>3297.18</v>
      </c>
      <c r="I138" s="2">
        <v>0.28000000000000003</v>
      </c>
    </row>
    <row r="139" spans="1:9" x14ac:dyDescent="0.25">
      <c r="A139" s="2" t="s">
        <v>928</v>
      </c>
      <c r="B139" s="2" t="s">
        <v>9</v>
      </c>
      <c r="C139" s="2" t="s">
        <v>686</v>
      </c>
      <c r="D139" s="2" t="s">
        <v>7</v>
      </c>
      <c r="E139" s="2">
        <v>322533.62219999998</v>
      </c>
      <c r="F139" s="2">
        <v>249570.13759999999</v>
      </c>
      <c r="G139" s="2">
        <v>77.378022119999997</v>
      </c>
      <c r="H139" s="2">
        <v>3361.53</v>
      </c>
      <c r="I139" s="2">
        <v>0.23</v>
      </c>
    </row>
    <row r="140" spans="1:9" x14ac:dyDescent="0.25">
      <c r="A140" s="2" t="s">
        <v>929</v>
      </c>
      <c r="B140" s="2" t="s">
        <v>9</v>
      </c>
      <c r="C140" s="2" t="s">
        <v>687</v>
      </c>
      <c r="D140" s="2" t="s">
        <v>7</v>
      </c>
      <c r="E140" s="2">
        <v>1746.4721259999999</v>
      </c>
      <c r="F140" s="2">
        <v>459.98620039999997</v>
      </c>
      <c r="G140" s="2">
        <v>26.33802129</v>
      </c>
      <c r="H140" s="2">
        <v>4177.54</v>
      </c>
      <c r="I140" s="2">
        <v>0.34</v>
      </c>
    </row>
    <row r="141" spans="1:9" x14ac:dyDescent="0.25">
      <c r="A141" s="2" t="s">
        <v>930</v>
      </c>
      <c r="B141" s="2" t="s">
        <v>9</v>
      </c>
      <c r="C141" s="2" t="s">
        <v>688</v>
      </c>
      <c r="D141" s="2" t="s">
        <v>7</v>
      </c>
      <c r="E141" s="2">
        <v>11421.041069999999</v>
      </c>
      <c r="F141" s="2">
        <v>4389.6488280000003</v>
      </c>
      <c r="G141" s="2">
        <v>38.434752140000001</v>
      </c>
      <c r="H141" s="2">
        <v>3271.47</v>
      </c>
      <c r="I141" s="2">
        <v>0.24</v>
      </c>
    </row>
    <row r="142" spans="1:9" x14ac:dyDescent="0.25">
      <c r="A142" s="2" t="s">
        <v>931</v>
      </c>
      <c r="B142" s="2" t="s">
        <v>9</v>
      </c>
      <c r="C142" s="2" t="s">
        <v>689</v>
      </c>
      <c r="D142" s="2" t="s">
        <v>7</v>
      </c>
      <c r="E142" s="2">
        <v>12236.26165</v>
      </c>
      <c r="F142" s="2">
        <v>5589.7707200000004</v>
      </c>
      <c r="G142" s="2">
        <v>45.682013660000003</v>
      </c>
      <c r="H142" s="2">
        <v>3888.13</v>
      </c>
      <c r="I142" s="2">
        <v>0.26</v>
      </c>
    </row>
    <row r="143" spans="1:9" x14ac:dyDescent="0.25">
      <c r="A143" s="2" t="s">
        <v>932</v>
      </c>
      <c r="B143" s="2" t="s">
        <v>10</v>
      </c>
      <c r="C143" s="2" t="s">
        <v>690</v>
      </c>
      <c r="D143" s="2" t="s">
        <v>7</v>
      </c>
      <c r="E143" s="2">
        <v>675468.75619999995</v>
      </c>
      <c r="F143" s="2">
        <v>561934.83279999997</v>
      </c>
      <c r="G143" s="2">
        <v>83.191831980000003</v>
      </c>
      <c r="H143" s="2">
        <v>3083.02</v>
      </c>
      <c r="I143" s="2">
        <v>0.21</v>
      </c>
    </row>
    <row r="144" spans="1:9" x14ac:dyDescent="0.25">
      <c r="A144" s="2" t="s">
        <v>934</v>
      </c>
      <c r="B144" s="2" t="s">
        <v>11</v>
      </c>
      <c r="C144" s="2" t="s">
        <v>691</v>
      </c>
      <c r="D144" s="2" t="s">
        <v>7</v>
      </c>
      <c r="E144" s="2">
        <v>219036.97200000001</v>
      </c>
      <c r="F144" s="2">
        <v>218820.49950000001</v>
      </c>
      <c r="G144" s="2">
        <v>99.901170809999996</v>
      </c>
      <c r="H144" s="2">
        <v>2947.84</v>
      </c>
      <c r="I144" s="2">
        <v>0.22</v>
      </c>
    </row>
    <row r="145" spans="1:9" x14ac:dyDescent="0.25">
      <c r="A145" s="2" t="s">
        <v>933</v>
      </c>
      <c r="B145" s="2" t="s">
        <v>10</v>
      </c>
      <c r="C145" s="2" t="s">
        <v>692</v>
      </c>
      <c r="D145" s="2" t="s">
        <v>7</v>
      </c>
      <c r="E145" s="2">
        <v>210360.31539999999</v>
      </c>
      <c r="F145" s="2">
        <v>91661.343129999994</v>
      </c>
      <c r="G145" s="2">
        <v>43.573495770000001</v>
      </c>
      <c r="H145" s="2">
        <v>3537.06</v>
      </c>
      <c r="I145" s="2">
        <v>0.23</v>
      </c>
    </row>
    <row r="146" spans="1:9" x14ac:dyDescent="0.25">
      <c r="A146" s="2" t="s">
        <v>935</v>
      </c>
      <c r="B146" s="2" t="s">
        <v>11</v>
      </c>
      <c r="C146" s="2" t="s">
        <v>693</v>
      </c>
      <c r="D146" s="2" t="s">
        <v>7</v>
      </c>
      <c r="E146" s="2">
        <v>379695.53279999999</v>
      </c>
      <c r="F146" s="2">
        <v>331373.70370000001</v>
      </c>
      <c r="G146" s="2">
        <v>87.273532360000004</v>
      </c>
      <c r="H146" s="2">
        <v>3479.52</v>
      </c>
      <c r="I146" s="2">
        <v>0.21</v>
      </c>
    </row>
    <row r="147" spans="1:9" x14ac:dyDescent="0.25">
      <c r="A147" s="2" t="s">
        <v>936</v>
      </c>
      <c r="B147" s="2" t="s">
        <v>11</v>
      </c>
      <c r="C147" s="2" t="s">
        <v>694</v>
      </c>
      <c r="D147" s="2" t="s">
        <v>7</v>
      </c>
      <c r="E147" s="2">
        <v>20977.415850000001</v>
      </c>
      <c r="F147" s="2">
        <v>19861.46875</v>
      </c>
      <c r="G147" s="2">
        <v>94.680245159999998</v>
      </c>
      <c r="H147" s="2">
        <v>3398.77</v>
      </c>
      <c r="I147" s="2">
        <v>0.22</v>
      </c>
    </row>
    <row r="148" spans="1:9" x14ac:dyDescent="0.25">
      <c r="A148" s="2" t="s">
        <v>937</v>
      </c>
      <c r="B148" s="2" t="s">
        <v>11</v>
      </c>
      <c r="C148" s="2" t="s">
        <v>695</v>
      </c>
      <c r="D148" s="2" t="s">
        <v>7</v>
      </c>
      <c r="E148" s="2">
        <v>153118.26240000001</v>
      </c>
      <c r="F148" s="2">
        <v>119531.6945</v>
      </c>
      <c r="G148" s="2">
        <v>78.064949659999996</v>
      </c>
      <c r="H148" s="2">
        <v>3713.38</v>
      </c>
      <c r="I148" s="2">
        <v>0.22</v>
      </c>
    </row>
    <row r="149" spans="1:9" x14ac:dyDescent="0.25">
      <c r="A149" s="2" t="s">
        <v>938</v>
      </c>
      <c r="B149" s="2" t="s">
        <v>9</v>
      </c>
      <c r="C149" s="2" t="s">
        <v>684</v>
      </c>
      <c r="D149" s="2" t="s">
        <v>7</v>
      </c>
      <c r="E149" s="2">
        <v>32357.734960000002</v>
      </c>
      <c r="F149" s="2">
        <v>28284.908719999999</v>
      </c>
      <c r="G149" s="2">
        <v>87.413129359999999</v>
      </c>
      <c r="H149" s="2">
        <v>3192.2</v>
      </c>
      <c r="I149" s="2">
        <v>0.25</v>
      </c>
    </row>
    <row r="150" spans="1:9" x14ac:dyDescent="0.25">
      <c r="A150" s="2" t="s">
        <v>939</v>
      </c>
      <c r="B150" s="2" t="s">
        <v>9</v>
      </c>
      <c r="C150" s="2" t="s">
        <v>685</v>
      </c>
      <c r="D150" s="2" t="s">
        <v>7</v>
      </c>
      <c r="E150" s="2">
        <v>285671.48979999998</v>
      </c>
      <c r="F150" s="2">
        <v>270390.89409999998</v>
      </c>
      <c r="G150" s="2">
        <v>94.650990309999997</v>
      </c>
      <c r="H150" s="2">
        <v>2778.63</v>
      </c>
      <c r="I150" s="2">
        <v>0.24</v>
      </c>
    </row>
    <row r="151" spans="1:9" x14ac:dyDescent="0.25">
      <c r="A151" s="2" t="s">
        <v>940</v>
      </c>
      <c r="B151" s="2" t="s">
        <v>9</v>
      </c>
      <c r="C151" s="2" t="s">
        <v>686</v>
      </c>
      <c r="D151" s="2" t="s">
        <v>7</v>
      </c>
      <c r="E151" s="2">
        <v>1399.7620400000001</v>
      </c>
      <c r="F151" s="2">
        <v>978.38566370000001</v>
      </c>
      <c r="G151" s="2">
        <v>69.896570659999995</v>
      </c>
      <c r="H151" s="2">
        <v>4450.16</v>
      </c>
      <c r="I151" s="2">
        <v>0.35</v>
      </c>
    </row>
    <row r="152" spans="1:9" x14ac:dyDescent="0.25">
      <c r="A152" s="2" t="s">
        <v>941</v>
      </c>
      <c r="B152" s="2" t="s">
        <v>9</v>
      </c>
      <c r="C152" s="2" t="s">
        <v>687</v>
      </c>
      <c r="D152" s="2" t="s">
        <v>7</v>
      </c>
      <c r="E152" s="2">
        <v>1537.6320470000001</v>
      </c>
      <c r="F152" s="2">
        <v>1098.253776</v>
      </c>
      <c r="G152" s="2">
        <v>71.425005670000004</v>
      </c>
      <c r="H152" s="2">
        <v>4331.18</v>
      </c>
      <c r="I152" s="2">
        <v>0.37</v>
      </c>
    </row>
    <row r="153" spans="1:9" x14ac:dyDescent="0.25">
      <c r="A153" s="2" t="s">
        <v>942</v>
      </c>
      <c r="B153" s="2" t="s">
        <v>9</v>
      </c>
      <c r="C153" s="2" t="s">
        <v>688</v>
      </c>
      <c r="D153" s="2" t="s">
        <v>7</v>
      </c>
      <c r="E153" s="2">
        <v>42660.889360000001</v>
      </c>
      <c r="F153" s="2">
        <v>34395.528579999998</v>
      </c>
      <c r="G153" s="2">
        <v>80.625437250000004</v>
      </c>
      <c r="H153" s="2">
        <v>3629.67</v>
      </c>
      <c r="I153" s="2">
        <v>0.24</v>
      </c>
    </row>
    <row r="154" spans="1:9" x14ac:dyDescent="0.25">
      <c r="A154" s="2" t="s">
        <v>943</v>
      </c>
      <c r="B154" s="2" t="s">
        <v>9</v>
      </c>
      <c r="C154" s="2" t="s">
        <v>689</v>
      </c>
      <c r="D154" s="2" t="s">
        <v>7</v>
      </c>
      <c r="E154" s="2">
        <v>43946.277900000001</v>
      </c>
      <c r="F154" s="2">
        <v>35253.499909999999</v>
      </c>
      <c r="G154" s="2">
        <v>80.219535289999996</v>
      </c>
      <c r="H154" s="2">
        <v>3348.43</v>
      </c>
      <c r="I154" s="2">
        <v>0.23</v>
      </c>
    </row>
    <row r="155" spans="1:9" x14ac:dyDescent="0.25">
      <c r="A155" s="2" t="s">
        <v>944</v>
      </c>
      <c r="B155" s="2" t="s">
        <v>10</v>
      </c>
      <c r="C155" s="2" t="s">
        <v>690</v>
      </c>
      <c r="D155" s="2" t="s">
        <v>7</v>
      </c>
      <c r="E155" s="2">
        <v>621747.51850000001</v>
      </c>
      <c r="F155" s="2">
        <v>563978.39260000002</v>
      </c>
      <c r="G155" s="2">
        <v>90.708587629999997</v>
      </c>
      <c r="H155" s="2">
        <v>3163.13</v>
      </c>
      <c r="I155" s="2">
        <v>0.21</v>
      </c>
    </row>
    <row r="156" spans="1:9" x14ac:dyDescent="0.25">
      <c r="A156" s="2" t="s">
        <v>946</v>
      </c>
      <c r="B156" s="2" t="s">
        <v>11</v>
      </c>
      <c r="C156" s="2" t="s">
        <v>691</v>
      </c>
      <c r="D156" s="2" t="s">
        <v>7</v>
      </c>
      <c r="E156" s="2">
        <v>251659.46900000001</v>
      </c>
      <c r="F156" s="2">
        <v>225657.0938</v>
      </c>
      <c r="G156" s="2">
        <v>89.667634899999996</v>
      </c>
      <c r="H156" s="2">
        <v>3142.42</v>
      </c>
      <c r="I156" s="2">
        <v>0.26</v>
      </c>
    </row>
    <row r="157" spans="1:9" x14ac:dyDescent="0.25">
      <c r="A157" s="2" t="s">
        <v>945</v>
      </c>
      <c r="B157" s="2" t="s">
        <v>10</v>
      </c>
      <c r="C157" s="2" t="s">
        <v>692</v>
      </c>
      <c r="D157" s="2" t="s">
        <v>7</v>
      </c>
      <c r="E157" s="2">
        <v>147276.671</v>
      </c>
      <c r="F157" s="2">
        <v>118498.5255</v>
      </c>
      <c r="G157" s="2">
        <v>80.459807170000005</v>
      </c>
      <c r="H157" s="2">
        <v>3343.7</v>
      </c>
      <c r="I157" s="2">
        <v>0.23</v>
      </c>
    </row>
    <row r="158" spans="1:9" x14ac:dyDescent="0.25">
      <c r="A158" s="2" t="s">
        <v>947</v>
      </c>
      <c r="B158" s="2" t="s">
        <v>11</v>
      </c>
      <c r="C158" s="2" t="s">
        <v>693</v>
      </c>
      <c r="D158" s="2" t="s">
        <v>7</v>
      </c>
      <c r="E158" s="2">
        <v>278260.3481</v>
      </c>
      <c r="F158" s="2">
        <v>250219.9296</v>
      </c>
      <c r="G158" s="2">
        <v>89.922955740000006</v>
      </c>
      <c r="H158" s="2">
        <v>3167.22</v>
      </c>
      <c r="I158" s="2">
        <v>0.21</v>
      </c>
    </row>
    <row r="159" spans="1:9" x14ac:dyDescent="0.25">
      <c r="A159" s="2" t="s">
        <v>948</v>
      </c>
      <c r="B159" s="2" t="s">
        <v>11</v>
      </c>
      <c r="C159" s="2" t="s">
        <v>694</v>
      </c>
      <c r="D159" s="2" t="s">
        <v>7</v>
      </c>
      <c r="E159" s="2">
        <v>6808.0256730000001</v>
      </c>
      <c r="F159" s="2">
        <v>5652.3693009999997</v>
      </c>
      <c r="G159" s="2">
        <v>83.025087940000006</v>
      </c>
      <c r="H159" s="2">
        <v>3136.74</v>
      </c>
      <c r="I159" s="2">
        <v>0.26</v>
      </c>
    </row>
    <row r="160" spans="1:9" x14ac:dyDescent="0.25">
      <c r="A160" s="2" t="s">
        <v>949</v>
      </c>
      <c r="B160" s="2" t="s">
        <v>11</v>
      </c>
      <c r="C160" s="2" t="s">
        <v>695</v>
      </c>
      <c r="D160" s="2" t="s">
        <v>7</v>
      </c>
      <c r="E160" s="2">
        <v>95628.005560000005</v>
      </c>
      <c r="F160" s="2">
        <v>74588.143729999996</v>
      </c>
      <c r="G160" s="2">
        <v>77.998221639999997</v>
      </c>
      <c r="H160" s="2">
        <v>3531.46</v>
      </c>
      <c r="I160" s="2">
        <v>0.23</v>
      </c>
    </row>
    <row r="161" spans="1:9" x14ac:dyDescent="0.25">
      <c r="A161" s="2" t="s">
        <v>950</v>
      </c>
      <c r="B161" s="2" t="s">
        <v>9</v>
      </c>
      <c r="C161" s="2" t="s">
        <v>684</v>
      </c>
      <c r="D161" s="2" t="s">
        <v>970</v>
      </c>
      <c r="E161" s="2">
        <v>232319.09539999999</v>
      </c>
      <c r="F161" s="2">
        <v>221230.9903</v>
      </c>
      <c r="G161" s="2">
        <v>95.227208910000002</v>
      </c>
      <c r="H161" s="2">
        <v>3485.41</v>
      </c>
      <c r="I161" s="2">
        <v>0.23</v>
      </c>
    </row>
    <row r="162" spans="1:9" x14ac:dyDescent="0.25">
      <c r="A162" s="2" t="s">
        <v>951</v>
      </c>
      <c r="B162" s="2" t="s">
        <v>9</v>
      </c>
      <c r="C162" s="2" t="s">
        <v>685</v>
      </c>
      <c r="D162" s="2" t="s">
        <v>970</v>
      </c>
      <c r="E162" s="2">
        <v>10407.502200000001</v>
      </c>
      <c r="F162" s="2">
        <v>3159.8104109999999</v>
      </c>
      <c r="G162" s="2">
        <v>30.360891120000002</v>
      </c>
      <c r="H162" s="2">
        <v>1898.88</v>
      </c>
      <c r="I162" s="2">
        <v>0.2</v>
      </c>
    </row>
    <row r="163" spans="1:9" x14ac:dyDescent="0.25">
      <c r="A163" s="2" t="s">
        <v>952</v>
      </c>
      <c r="B163" s="2" t="s">
        <v>9</v>
      </c>
      <c r="C163" s="2" t="s">
        <v>686</v>
      </c>
      <c r="D163" s="2" t="s">
        <v>970</v>
      </c>
      <c r="E163" s="2">
        <v>10918.535540000001</v>
      </c>
      <c r="F163" s="2">
        <v>6678.7978160000002</v>
      </c>
      <c r="G163" s="2">
        <v>61.16935548</v>
      </c>
      <c r="H163" s="2">
        <v>3360.42</v>
      </c>
      <c r="I163" s="2">
        <v>0.23</v>
      </c>
    </row>
    <row r="164" spans="1:9" x14ac:dyDescent="0.25">
      <c r="A164" s="2" t="s">
        <v>953</v>
      </c>
      <c r="B164" s="2" t="s">
        <v>9</v>
      </c>
      <c r="C164" s="2" t="s">
        <v>687</v>
      </c>
      <c r="D164" s="2" t="s">
        <v>970</v>
      </c>
      <c r="E164" s="2">
        <v>1937.113701</v>
      </c>
      <c r="F164" s="2">
        <v>739.04662980000001</v>
      </c>
      <c r="G164" s="2">
        <v>38.151948930000003</v>
      </c>
      <c r="H164" s="2">
        <v>4712.54</v>
      </c>
      <c r="I164" s="2">
        <v>0.35</v>
      </c>
    </row>
    <row r="165" spans="1:9" x14ac:dyDescent="0.25">
      <c r="A165" s="2" t="s">
        <v>954</v>
      </c>
      <c r="B165" s="2" t="s">
        <v>9</v>
      </c>
      <c r="C165" s="2" t="s">
        <v>688</v>
      </c>
      <c r="D165" s="2" t="s">
        <v>970</v>
      </c>
      <c r="E165" s="2">
        <v>10737.3442</v>
      </c>
      <c r="F165" s="2">
        <v>5174.7217840000003</v>
      </c>
      <c r="G165" s="2">
        <v>48.193684449999999</v>
      </c>
      <c r="H165" s="2">
        <v>3401.03</v>
      </c>
      <c r="I165" s="2">
        <v>0.25</v>
      </c>
    </row>
    <row r="166" spans="1:9" x14ac:dyDescent="0.25">
      <c r="A166" s="2" t="s">
        <v>955</v>
      </c>
      <c r="B166" s="2" t="s">
        <v>9</v>
      </c>
      <c r="C166" s="2" t="s">
        <v>689</v>
      </c>
      <c r="D166" s="2" t="s">
        <v>970</v>
      </c>
      <c r="E166" s="2">
        <v>8010.6275660000001</v>
      </c>
      <c r="F166" s="2">
        <v>3583.0131240000001</v>
      </c>
      <c r="G166" s="2">
        <v>44.728245010000002</v>
      </c>
      <c r="H166" s="2">
        <v>2801.64</v>
      </c>
      <c r="I166" s="2">
        <v>0.25</v>
      </c>
    </row>
  </sheetData>
  <autoFilter ref="A1:I1" xr:uid="{DF5EFABA-96A9-4640-9B46-28F3E14D2DE6}">
    <sortState xmlns:xlrd2="http://schemas.microsoft.com/office/spreadsheetml/2017/richdata2" ref="A2:I184">
      <sortCondition ref="A1"/>
    </sortState>
  </autoFilter>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S1 - MetaData</vt:lpstr>
      <vt:lpstr>S2- Permanova (location type)</vt:lpstr>
      <vt:lpstr>S3-Degree of differences (Type)</vt:lpstr>
      <vt:lpstr>S4 - Permanova (Type, Month)  </vt:lpstr>
      <vt:lpstr>S5-Permanova (RDA-plot)</vt:lpstr>
      <vt:lpstr>S6 - Beta‐dispersio</vt:lpstr>
      <vt:lpstr>S7-TCC&amp;ICC</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TEVIN MOODLEY</dc:creator>
  <cp:lastModifiedBy>Moodley, Tevin</cp:lastModifiedBy>
  <dcterms:created xsi:type="dcterms:W3CDTF">2025-03-12T15:38:46Z</dcterms:created>
  <dcterms:modified xsi:type="dcterms:W3CDTF">2025-10-10T11:06:16Z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31be4-bb77-46d3-b866-62153466896a_Enabled">
    <vt:lpwstr>true</vt:lpwstr>
  </property>
  <property fmtid="{D5CDD505-2E9C-101B-9397-08002B2CF9AE}" pid="3" name="MSIP_Label_b0d31be4-bb77-46d3-b866-62153466896a_SetDate">
    <vt:lpwstr>2025-09-25T12:46:41Z</vt:lpwstr>
  </property>
  <property fmtid="{D5CDD505-2E9C-101B-9397-08002B2CF9AE}" pid="4" name="MSIP_Label_b0d31be4-bb77-46d3-b866-62153466896a_Method">
    <vt:lpwstr>Standard</vt:lpwstr>
  </property>
  <property fmtid="{D5CDD505-2E9C-101B-9397-08002B2CF9AE}" pid="5" name="MSIP_Label_b0d31be4-bb77-46d3-b866-62153466896a_Name">
    <vt:lpwstr>Public</vt:lpwstr>
  </property>
  <property fmtid="{D5CDD505-2E9C-101B-9397-08002B2CF9AE}" pid="6" name="MSIP_Label_b0d31be4-bb77-46d3-b866-62153466896a_SiteId">
    <vt:lpwstr>fa785acd-36ef-41bc-8a94-89841327e045</vt:lpwstr>
  </property>
  <property fmtid="{D5CDD505-2E9C-101B-9397-08002B2CF9AE}" pid="7" name="MSIP_Label_b0d31be4-bb77-46d3-b866-62153466896a_ActionId">
    <vt:lpwstr>1ab6c351-e113-4099-88f8-18e4b2173ecc</vt:lpwstr>
  </property>
  <property fmtid="{D5CDD505-2E9C-101B-9397-08002B2CF9AE}" pid="8" name="MSIP_Label_b0d31be4-bb77-46d3-b866-62153466896a_ContentBits">
    <vt:lpwstr>0</vt:lpwstr>
  </property>
  <property fmtid="{D5CDD505-2E9C-101B-9397-08002B2CF9AE}" pid="9" name="MSIP_Label_b0d31be4-bb77-46d3-b866-62153466896a_Tag">
    <vt:lpwstr>10, 3, 0, 1</vt:lpwstr>
  </property>
</Properties>
</file>