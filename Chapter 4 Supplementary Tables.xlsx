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inosha\Dropbox\Kinosha Ferreira-Moodley\chapters\chapter-2-microbial-community-dynamics-and-functional-potential-drinking-water-reservoir\metagenomics-re-analysis\"/>
    </mc:Choice>
  </mc:AlternateContent>
  <xr:revisionPtr revIDLastSave="0" documentId="13_ncr:1_{7239006C-49E2-4A6C-B534-30AAE9E774EA}" xr6:coauthVersionLast="47" xr6:coauthVersionMax="47" xr10:uidLastSave="{00000000-0000-0000-0000-000000000000}"/>
  <bookViews>
    <workbookView xWindow="-28920" yWindow="-2595" windowWidth="29040" windowHeight="15840" activeTab="3" xr2:uid="{00000000-000D-0000-FFFF-FFFF00000000}"/>
  </bookViews>
  <sheets>
    <sheet name="samples" sheetId="5" r:id="rId1"/>
    <sheet name="metagenomic-analysis" sheetId="6" r:id="rId2"/>
    <sheet name="sequence-reads" sheetId="1" r:id="rId3"/>
    <sheet name="individual-assembly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D11" i="2"/>
  <c r="E11" i="2"/>
  <c r="F11" i="2"/>
  <c r="G11" i="2"/>
  <c r="H11" i="2"/>
  <c r="I11" i="2"/>
  <c r="J11" i="2"/>
  <c r="C12" i="2"/>
  <c r="D12" i="2"/>
  <c r="E12" i="2"/>
  <c r="F12" i="2"/>
  <c r="G12" i="2"/>
  <c r="H12" i="2"/>
  <c r="I12" i="2"/>
  <c r="J12" i="2"/>
  <c r="B12" i="2"/>
  <c r="B11" i="2"/>
  <c r="C10" i="1"/>
  <c r="D10" i="1"/>
  <c r="E10" i="1"/>
  <c r="F10" i="1"/>
  <c r="G10" i="1"/>
  <c r="H10" i="1"/>
  <c r="I10" i="1"/>
  <c r="C11" i="1"/>
  <c r="D11" i="1"/>
  <c r="E11" i="1"/>
  <c r="F11" i="1"/>
  <c r="G11" i="1"/>
  <c r="H11" i="1"/>
  <c r="I11" i="1"/>
  <c r="B11" i="1"/>
  <c r="B10" i="1"/>
  <c r="C9" i="2"/>
  <c r="D9" i="2"/>
  <c r="E9" i="2"/>
  <c r="F9" i="2"/>
  <c r="G9" i="2"/>
  <c r="H9" i="2"/>
  <c r="I9" i="2"/>
  <c r="J9" i="2"/>
  <c r="C10" i="2"/>
  <c r="D10" i="2"/>
  <c r="E10" i="2"/>
  <c r="F10" i="2"/>
  <c r="G10" i="2"/>
  <c r="H10" i="2"/>
  <c r="I10" i="2"/>
  <c r="J10" i="2"/>
  <c r="B10" i="2"/>
  <c r="B9" i="2"/>
  <c r="C7" i="1"/>
  <c r="C8" i="1"/>
  <c r="C9" i="1"/>
  <c r="B9" i="1"/>
  <c r="B8" i="1"/>
  <c r="D9" i="1"/>
  <c r="D8" i="1"/>
  <c r="E9" i="1"/>
  <c r="F9" i="1"/>
  <c r="G9" i="1"/>
  <c r="K16" i="2" l="1"/>
  <c r="L4" i="2"/>
  <c r="L5" i="2"/>
  <c r="L6" i="2"/>
  <c r="L7" i="2"/>
  <c r="L3" i="2"/>
  <c r="A7" i="2"/>
  <c r="A4" i="2"/>
  <c r="A5" i="2"/>
  <c r="A6" i="2"/>
  <c r="A3" i="2"/>
  <c r="A3" i="1"/>
  <c r="A4" i="1"/>
  <c r="A5" i="1"/>
  <c r="A6" i="1"/>
  <c r="A2" i="1"/>
  <c r="F8" i="1"/>
  <c r="G8" i="1"/>
  <c r="E8" i="1"/>
  <c r="H7" i="1"/>
  <c r="I7" i="1" s="1"/>
  <c r="D7" i="1"/>
  <c r="B7" i="1"/>
  <c r="H6" i="1"/>
  <c r="I6" i="1" s="1"/>
  <c r="H3" i="1"/>
  <c r="I3" i="1" s="1"/>
  <c r="H2" i="1"/>
  <c r="H4" i="1"/>
  <c r="I4" i="1" s="1"/>
  <c r="H5" i="1"/>
  <c r="I5" i="1" s="1"/>
  <c r="L16" i="2" l="1"/>
  <c r="I2" i="1"/>
  <c r="H9" i="1"/>
  <c r="H8" i="1"/>
  <c r="I8" i="1" l="1"/>
  <c r="I9" i="1"/>
</calcChain>
</file>

<file path=xl/sharedStrings.xml><?xml version="1.0" encoding="utf-8"?>
<sst xmlns="http://schemas.openxmlformats.org/spreadsheetml/2006/main" count="153" uniqueCount="108">
  <si>
    <t>K1</t>
  </si>
  <si>
    <t>K2</t>
  </si>
  <si>
    <t>K3</t>
  </si>
  <si>
    <t>K4</t>
  </si>
  <si>
    <t>K5</t>
  </si>
  <si>
    <t>sample</t>
  </si>
  <si>
    <t>total-raw-reads</t>
  </si>
  <si>
    <t>processed-reads</t>
  </si>
  <si>
    <t>preprocessed-reads</t>
  </si>
  <si>
    <t>total-raw-reads-filtered-count</t>
  </si>
  <si>
    <t>total-raw-reads-filtered-pct</t>
  </si>
  <si>
    <t>processed-reads-min-length</t>
  </si>
  <si>
    <t>processed-reads-max-length</t>
  </si>
  <si>
    <t>processed-reads-avg-length</t>
  </si>
  <si>
    <t>Total</t>
  </si>
  <si>
    <t>Average</t>
  </si>
  <si>
    <t>Raw FASTQ files</t>
  </si>
  <si>
    <t>FASTQ files after quality filtering &amp; trimming (program: fastp)</t>
  </si>
  <si>
    <t>FASTQ files after quality filtering, trimming, and contaminant (vector) removal (programs: fastp &amp; univec)</t>
  </si>
  <si>
    <t>number-contigs</t>
  </si>
  <si>
    <t>smallest-contig-bp</t>
  </si>
  <si>
    <t>largest-contig-bp</t>
  </si>
  <si>
    <t>total-length-bp</t>
  </si>
  <si>
    <t>n-50</t>
  </si>
  <si>
    <t>n-90</t>
  </si>
  <si>
    <t>l-50</t>
  </si>
  <si>
    <t>gc</t>
  </si>
  <si>
    <t>K1 - K5</t>
  </si>
  <si>
    <t>QUAST statistics individual samples</t>
  </si>
  <si>
    <t>QUAST statistics combined samples [note: unique contigs are retained; hence duplicate and contained contigs across samples are removed]</t>
  </si>
  <si>
    <t>mapping-rate</t>
  </si>
  <si>
    <t>total-number-processed-reads-mapped</t>
  </si>
  <si>
    <t>purpose</t>
  </si>
  <si>
    <t>01_fastp</t>
  </si>
  <si>
    <t>fastp</t>
  </si>
  <si>
    <t>Quality trimming and filtering of raw reads</t>
  </si>
  <si>
    <t>02_download_univec</t>
  </si>
  <si>
    <t>wget</t>
  </si>
  <si>
    <t>Download UniVec database</t>
  </si>
  <si>
    <t>03_index_univec</t>
  </si>
  <si>
    <t>bwa</t>
  </si>
  <si>
    <t>Index UniVec for contamination filtering</t>
  </si>
  <si>
    <t>bwa, samtools, bedtools</t>
  </si>
  <si>
    <t>Remove vector contamination</t>
  </si>
  <si>
    <t>bedtools</t>
  </si>
  <si>
    <t>Convert BAM back to FASTQ</t>
  </si>
  <si>
    <t>seqkit</t>
  </si>
  <si>
    <t>Generate FASTQ stats</t>
  </si>
  <si>
    <t>metaSPAdes</t>
  </si>
  <si>
    <t>Assemble contigs per sample</t>
  </si>
  <si>
    <t>Remove contigs &lt;1000 bp</t>
  </si>
  <si>
    <t>QUAST</t>
  </si>
  <si>
    <t>BBTools</t>
  </si>
  <si>
    <t>Index final assembly</t>
  </si>
  <si>
    <t>bwa, samtools</t>
  </si>
  <si>
    <t>Map reads to coassembly</t>
  </si>
  <si>
    <t>CoverM</t>
  </si>
  <si>
    <t>Generate contig abundance table</t>
  </si>
  <si>
    <t>04_univec_bwa_samtools &amp; 05_sort_univec_bam</t>
  </si>
  <si>
    <t>06_bamtofastq</t>
  </si>
  <si>
    <t>07_seqkit_stats</t>
  </si>
  <si>
    <t>08_metaspades_per_sample</t>
  </si>
  <si>
    <t>09_filter_contigs_1000</t>
  </si>
  <si>
    <t>10_quast_contigs_1000</t>
  </si>
  <si>
    <t>11_concat_and_dedupe_contigs_1000</t>
  </si>
  <si>
    <t>12_quast_all_filtered_1000</t>
  </si>
  <si>
    <t>13_bwa_index_all_filtered_1000</t>
  </si>
  <si>
    <t>QC on combined individual assemblies</t>
  </si>
  <si>
    <t>Assembly quality metrics per sample</t>
  </si>
  <si>
    <t>Merge and deduplicate contigs generated following individual assembly</t>
  </si>
  <si>
    <t>14_map_samples_to_assembly</t>
  </si>
  <si>
    <t>15_coverm_counts</t>
  </si>
  <si>
    <t>script</t>
  </si>
  <si>
    <t>programs(s)</t>
  </si>
  <si>
    <t>Sequence processing</t>
  </si>
  <si>
    <t>Assembly</t>
  </si>
  <si>
    <t>category</t>
  </si>
  <si>
    <t>16_concoct_binning</t>
  </si>
  <si>
    <t>17_metabat2_binning</t>
  </si>
  <si>
    <t>Binning</t>
  </si>
  <si>
    <t>CONCOCT</t>
  </si>
  <si>
    <t>MetaBAT</t>
  </si>
  <si>
    <t>Draft genome binning</t>
  </si>
  <si>
    <t>QUAST analysis is done exclusively on contigs &gt;= 1000bp</t>
  </si>
  <si>
    <t>Standard deviation</t>
  </si>
  <si>
    <t>Minimum</t>
  </si>
  <si>
    <t>Maximum</t>
  </si>
  <si>
    <t>Refer to the statistics below</t>
  </si>
  <si>
    <t>Total Chrlorine Averaged</t>
  </si>
  <si>
    <t xml:space="preserve">Free Chlorine Averaged </t>
  </si>
  <si>
    <t xml:space="preserve">pH Averaged </t>
  </si>
  <si>
    <t xml:space="preserve">Tempreture Averaged </t>
  </si>
  <si>
    <t>19_extract_dastool_bins</t>
  </si>
  <si>
    <t>18_dastool</t>
  </si>
  <si>
    <t>20_drep</t>
  </si>
  <si>
    <t>21_coverm</t>
  </si>
  <si>
    <t>22_gtdbtk</t>
  </si>
  <si>
    <t>DASTools</t>
  </si>
  <si>
    <t>dRep</t>
  </si>
  <si>
    <t>GTDB_tk</t>
  </si>
  <si>
    <t xml:space="preserve">Extracting refined bins </t>
  </si>
  <si>
    <t>Evaluating unrefined bins</t>
  </si>
  <si>
    <t>Dereplicating bins</t>
  </si>
  <si>
    <t>Generating statstical quality of bins and RPKM</t>
  </si>
  <si>
    <t xml:space="preserve">Classification of bins </t>
  </si>
  <si>
    <t xml:space="preserve">Refinment of bin </t>
  </si>
  <si>
    <t>Stats</t>
  </si>
  <si>
    <t xml:space="preserve">Classification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</si>
</sst>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5" fontId="0" fillId="0" borderId="0" xfId="1" applyNumberFormat="1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3" fontId="2" fillId="2" borderId="0" xfId="0" applyNumberFormat="1" applyFont="1" applyFill="1" applyAlignment="1">
      <alignment horizontal="left" vertical="center"/>
    </xf>
    <xf numFmtId="165" fontId="2" fillId="2" borderId="0" xfId="1" applyNumberFormat="1" applyFont="1" applyFill="1" applyAlignment="1">
      <alignment horizontal="left" vertical="center"/>
    </xf>
    <xf numFmtId="0" fontId="0" fillId="0" borderId="0" xfId="0" applyAlignment="1">
      <alignment horizontal="left"/>
    </xf>
    <xf numFmtId="165" fontId="0" fillId="0" borderId="0" xfId="1" applyNumberFormat="1" applyFont="1" applyAlignment="1">
      <alignment horizontal="left"/>
    </xf>
    <xf numFmtId="0" fontId="2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4" fontId="0" fillId="0" borderId="0" xfId="0" applyNumberFormat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horizontal="left"/>
    </xf>
    <xf numFmtId="3" fontId="2" fillId="0" borderId="0" xfId="0" applyNumberFormat="1" applyFont="1" applyAlignment="1">
      <alignment horizontal="left" vertical="center"/>
    </xf>
    <xf numFmtId="165" fontId="0" fillId="0" borderId="0" xfId="1" applyNumberFormat="1" applyFont="1" applyFill="1" applyAlignment="1">
      <alignment horizontal="left" vertical="center"/>
    </xf>
    <xf numFmtId="4" fontId="2" fillId="2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3" fontId="0" fillId="4" borderId="0" xfId="0" applyNumberFormat="1" applyFill="1" applyAlignment="1">
      <alignment horizontal="left" vertical="center"/>
    </xf>
    <xf numFmtId="165" fontId="0" fillId="4" borderId="0" xfId="1" applyNumberFormat="1" applyFont="1" applyFill="1" applyAlignment="1">
      <alignment horizontal="left"/>
    </xf>
    <xf numFmtId="0" fontId="2" fillId="3" borderId="0" xfId="0" applyFont="1" applyFill="1" applyAlignment="1">
      <alignment horizontal="left" vertical="center"/>
    </xf>
    <xf numFmtId="3" fontId="2" fillId="4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73C52-8E6B-4249-8B92-BBF4806965D6}">
  <dimension ref="A1:E6"/>
  <sheetViews>
    <sheetView workbookViewId="0">
      <selection activeCell="N20" sqref="N20"/>
    </sheetView>
  </sheetViews>
  <sheetFormatPr defaultRowHeight="15" x14ac:dyDescent="0.25"/>
  <cols>
    <col min="2" max="2" width="23.42578125" bestFit="1" customWidth="1"/>
    <col min="3" max="3" width="22.7109375" bestFit="1" customWidth="1"/>
    <col min="4" max="4" width="12.7109375" bestFit="1" customWidth="1"/>
    <col min="5" max="5" width="21.140625" bestFit="1" customWidth="1"/>
  </cols>
  <sheetData>
    <row r="1" spans="1:5" x14ac:dyDescent="0.25">
      <c r="A1" s="10" t="s">
        <v>5</v>
      </c>
      <c r="B1" s="10" t="s">
        <v>88</v>
      </c>
      <c r="C1" s="10" t="s">
        <v>89</v>
      </c>
      <c r="D1" s="10" t="s">
        <v>90</v>
      </c>
      <c r="E1" s="10" t="s">
        <v>91</v>
      </c>
    </row>
    <row r="2" spans="1:5" x14ac:dyDescent="0.25">
      <c r="A2" s="1" t="s">
        <v>0</v>
      </c>
      <c r="B2">
        <v>2.1944444444444446</v>
      </c>
      <c r="C2">
        <v>0.57333333333333336</v>
      </c>
      <c r="D2">
        <v>8.477222222222224</v>
      </c>
      <c r="E2">
        <v>24.586858888888887</v>
      </c>
    </row>
    <row r="3" spans="1:5" x14ac:dyDescent="0.25">
      <c r="A3" s="1" t="s">
        <v>1</v>
      </c>
      <c r="B3">
        <v>2.0155555555555558</v>
      </c>
      <c r="C3">
        <v>0.35222222222222221</v>
      </c>
      <c r="D3">
        <v>7.9116666666666653</v>
      </c>
      <c r="E3">
        <v>17.024088888888887</v>
      </c>
    </row>
    <row r="4" spans="1:5" x14ac:dyDescent="0.25">
      <c r="A4" s="1" t="s">
        <v>2</v>
      </c>
      <c r="B4">
        <v>1.855</v>
      </c>
      <c r="C4">
        <v>0.642777777777778</v>
      </c>
      <c r="D4">
        <v>8.6127777777777759</v>
      </c>
      <c r="E4">
        <v>21.311246666666666</v>
      </c>
    </row>
    <row r="5" spans="1:5" x14ac:dyDescent="0.25">
      <c r="A5" s="1" t="s">
        <v>3</v>
      </c>
      <c r="B5">
        <v>1.0100000000000002</v>
      </c>
      <c r="C5">
        <v>0.4</v>
      </c>
      <c r="D5">
        <v>7.3879999999999999</v>
      </c>
      <c r="E5">
        <v>25.717441000000001</v>
      </c>
    </row>
    <row r="6" spans="1:5" x14ac:dyDescent="0.25">
      <c r="A6" s="1" t="s">
        <v>4</v>
      </c>
      <c r="B6">
        <v>0.2</v>
      </c>
      <c r="C6">
        <v>0.12</v>
      </c>
      <c r="D6">
        <v>7.8780000000000001</v>
      </c>
      <c r="E6">
        <v>25.549275999999999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6B2A4-6D80-429B-B5B3-3F54201CC208}">
  <dimension ref="A1:D22"/>
  <sheetViews>
    <sheetView workbookViewId="0">
      <selection activeCell="B30" sqref="B30"/>
    </sheetView>
  </sheetViews>
  <sheetFormatPr defaultRowHeight="15" x14ac:dyDescent="0.25"/>
  <cols>
    <col min="1" max="1" width="45.140625" bestFit="1" customWidth="1"/>
    <col min="2" max="2" width="23" bestFit="1" customWidth="1"/>
    <col min="3" max="3" width="66.42578125" bestFit="1" customWidth="1"/>
    <col min="4" max="4" width="19.85546875" bestFit="1" customWidth="1"/>
  </cols>
  <sheetData>
    <row r="1" spans="1:4" x14ac:dyDescent="0.25">
      <c r="A1" s="10" t="s">
        <v>72</v>
      </c>
      <c r="B1" s="10" t="s">
        <v>73</v>
      </c>
      <c r="C1" s="10" t="s">
        <v>32</v>
      </c>
      <c r="D1" s="10" t="s">
        <v>76</v>
      </c>
    </row>
    <row r="2" spans="1:4" x14ac:dyDescent="0.25">
      <c r="A2" t="s">
        <v>33</v>
      </c>
      <c r="B2" t="s">
        <v>34</v>
      </c>
      <c r="C2" t="s">
        <v>35</v>
      </c>
      <c r="D2" t="s">
        <v>74</v>
      </c>
    </row>
    <row r="3" spans="1:4" x14ac:dyDescent="0.25">
      <c r="A3" t="s">
        <v>36</v>
      </c>
      <c r="B3" t="s">
        <v>37</v>
      </c>
      <c r="C3" t="s">
        <v>38</v>
      </c>
      <c r="D3" t="s">
        <v>74</v>
      </c>
    </row>
    <row r="4" spans="1:4" x14ac:dyDescent="0.25">
      <c r="A4" t="s">
        <v>39</v>
      </c>
      <c r="B4" t="s">
        <v>40</v>
      </c>
      <c r="C4" t="s">
        <v>41</v>
      </c>
      <c r="D4" t="s">
        <v>74</v>
      </c>
    </row>
    <row r="5" spans="1:4" x14ac:dyDescent="0.25">
      <c r="A5" t="s">
        <v>58</v>
      </c>
      <c r="B5" t="s">
        <v>42</v>
      </c>
      <c r="C5" t="s">
        <v>43</v>
      </c>
      <c r="D5" t="s">
        <v>74</v>
      </c>
    </row>
    <row r="6" spans="1:4" x14ac:dyDescent="0.25">
      <c r="A6" t="s">
        <v>59</v>
      </c>
      <c r="B6" t="s">
        <v>44</v>
      </c>
      <c r="C6" t="s">
        <v>45</v>
      </c>
      <c r="D6" t="s">
        <v>74</v>
      </c>
    </row>
    <row r="7" spans="1:4" x14ac:dyDescent="0.25">
      <c r="A7" t="s">
        <v>60</v>
      </c>
      <c r="B7" t="s">
        <v>46</v>
      </c>
      <c r="C7" t="s">
        <v>47</v>
      </c>
      <c r="D7" t="s">
        <v>74</v>
      </c>
    </row>
    <row r="8" spans="1:4" x14ac:dyDescent="0.25">
      <c r="A8" t="s">
        <v>61</v>
      </c>
      <c r="B8" t="s">
        <v>48</v>
      </c>
      <c r="C8" t="s">
        <v>49</v>
      </c>
      <c r="D8" t="s">
        <v>75</v>
      </c>
    </row>
    <row r="9" spans="1:4" x14ac:dyDescent="0.25">
      <c r="A9" t="s">
        <v>62</v>
      </c>
      <c r="B9" t="s">
        <v>46</v>
      </c>
      <c r="C9" t="s">
        <v>50</v>
      </c>
      <c r="D9" t="s">
        <v>75</v>
      </c>
    </row>
    <row r="10" spans="1:4" x14ac:dyDescent="0.25">
      <c r="A10" t="s">
        <v>63</v>
      </c>
      <c r="B10" t="s">
        <v>51</v>
      </c>
      <c r="C10" t="s">
        <v>68</v>
      </c>
      <c r="D10" t="s">
        <v>75</v>
      </c>
    </row>
    <row r="11" spans="1:4" x14ac:dyDescent="0.25">
      <c r="A11" t="s">
        <v>64</v>
      </c>
      <c r="B11" t="s">
        <v>52</v>
      </c>
      <c r="C11" t="s">
        <v>69</v>
      </c>
      <c r="D11" t="s">
        <v>75</v>
      </c>
    </row>
    <row r="12" spans="1:4" x14ac:dyDescent="0.25">
      <c r="A12" t="s">
        <v>65</v>
      </c>
      <c r="B12" t="s">
        <v>51</v>
      </c>
      <c r="C12" t="s">
        <v>67</v>
      </c>
      <c r="D12" t="s">
        <v>75</v>
      </c>
    </row>
    <row r="13" spans="1:4" x14ac:dyDescent="0.25">
      <c r="A13" t="s">
        <v>66</v>
      </c>
      <c r="B13" t="s">
        <v>40</v>
      </c>
      <c r="C13" t="s">
        <v>53</v>
      </c>
      <c r="D13" t="s">
        <v>75</v>
      </c>
    </row>
    <row r="14" spans="1:4" x14ac:dyDescent="0.25">
      <c r="A14" t="s">
        <v>70</v>
      </c>
      <c r="B14" t="s">
        <v>54</v>
      </c>
      <c r="C14" t="s">
        <v>55</v>
      </c>
      <c r="D14" t="s">
        <v>75</v>
      </c>
    </row>
    <row r="15" spans="1:4" x14ac:dyDescent="0.25">
      <c r="A15" t="s">
        <v>71</v>
      </c>
      <c r="B15" t="s">
        <v>56</v>
      </c>
      <c r="C15" t="s">
        <v>57</v>
      </c>
      <c r="D15" t="s">
        <v>75</v>
      </c>
    </row>
    <row r="16" spans="1:4" x14ac:dyDescent="0.25">
      <c r="A16" t="s">
        <v>77</v>
      </c>
      <c r="B16" t="s">
        <v>80</v>
      </c>
      <c r="C16" t="s">
        <v>82</v>
      </c>
      <c r="D16" t="s">
        <v>79</v>
      </c>
    </row>
    <row r="17" spans="1:4" x14ac:dyDescent="0.25">
      <c r="A17" t="s">
        <v>78</v>
      </c>
      <c r="B17" t="s">
        <v>81</v>
      </c>
      <c r="C17" t="s">
        <v>82</v>
      </c>
      <c r="D17" t="s">
        <v>79</v>
      </c>
    </row>
    <row r="18" spans="1:4" x14ac:dyDescent="0.25">
      <c r="A18" t="s">
        <v>93</v>
      </c>
      <c r="B18" t="s">
        <v>97</v>
      </c>
      <c r="C18" t="s">
        <v>101</v>
      </c>
      <c r="D18" t="s">
        <v>105</v>
      </c>
    </row>
    <row r="19" spans="1:4" x14ac:dyDescent="0.25">
      <c r="A19" t="s">
        <v>92</v>
      </c>
      <c r="B19" t="s">
        <v>97</v>
      </c>
      <c r="C19" t="s">
        <v>100</v>
      </c>
      <c r="D19" t="s">
        <v>105</v>
      </c>
    </row>
    <row r="20" spans="1:4" x14ac:dyDescent="0.25">
      <c r="A20" t="s">
        <v>94</v>
      </c>
      <c r="B20" t="s">
        <v>98</v>
      </c>
      <c r="C20" t="s">
        <v>102</v>
      </c>
      <c r="D20" t="s">
        <v>105</v>
      </c>
    </row>
    <row r="21" spans="1:4" x14ac:dyDescent="0.25">
      <c r="A21" t="s">
        <v>95</v>
      </c>
      <c r="B21" t="s">
        <v>56</v>
      </c>
      <c r="C21" t="s">
        <v>103</v>
      </c>
      <c r="D21" t="s">
        <v>106</v>
      </c>
    </row>
    <row r="22" spans="1:4" x14ac:dyDescent="0.25">
      <c r="A22" t="s">
        <v>96</v>
      </c>
      <c r="B22" t="s">
        <v>99</v>
      </c>
      <c r="C22" t="s">
        <v>104</v>
      </c>
      <c r="D22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>
      <selection activeCell="E29" sqref="E29"/>
    </sheetView>
  </sheetViews>
  <sheetFormatPr defaultRowHeight="15" x14ac:dyDescent="0.25"/>
  <cols>
    <col min="1" max="1" width="18.85546875" style="1" bestFit="1" customWidth="1"/>
    <col min="2" max="2" width="14.85546875" style="1" bestFit="1" customWidth="1"/>
    <col min="3" max="3" width="18.85546875" style="1" bestFit="1" customWidth="1"/>
    <col min="4" max="4" width="15.7109375" style="1" bestFit="1" customWidth="1"/>
    <col min="5" max="5" width="26.7109375" style="1" bestFit="1" customWidth="1"/>
    <col min="6" max="6" width="27" style="1" bestFit="1" customWidth="1"/>
    <col min="7" max="7" width="26.28515625" style="1" bestFit="1" customWidth="1"/>
    <col min="8" max="8" width="28.42578125" style="1" bestFit="1" customWidth="1"/>
    <col min="9" max="9" width="26.140625" style="1" bestFit="1" customWidth="1"/>
    <col min="10" max="16384" width="9.140625" style="1"/>
  </cols>
  <sheetData>
    <row r="1" spans="1:9" x14ac:dyDescent="0.25">
      <c r="A1" s="10" t="s">
        <v>5</v>
      </c>
      <c r="B1" s="10" t="s">
        <v>6</v>
      </c>
      <c r="C1" s="10" t="s">
        <v>8</v>
      </c>
      <c r="D1" s="10" t="s">
        <v>7</v>
      </c>
      <c r="E1" s="10" t="s">
        <v>11</v>
      </c>
      <c r="F1" s="10" t="s">
        <v>12</v>
      </c>
      <c r="G1" s="10" t="s">
        <v>13</v>
      </c>
      <c r="H1" s="10" t="s">
        <v>9</v>
      </c>
      <c r="I1" s="10" t="s">
        <v>10</v>
      </c>
    </row>
    <row r="2" spans="1:9" x14ac:dyDescent="0.25">
      <c r="A2" s="1" t="str">
        <f>samples!A2</f>
        <v>K1</v>
      </c>
      <c r="B2" s="2">
        <v>376894978</v>
      </c>
      <c r="C2" s="2">
        <v>370649632</v>
      </c>
      <c r="D2" s="2">
        <v>370649130</v>
      </c>
      <c r="E2" s="2">
        <v>20</v>
      </c>
      <c r="F2" s="3">
        <v>150.9</v>
      </c>
      <c r="G2" s="2">
        <v>151</v>
      </c>
      <c r="H2" s="2">
        <f>B2-D2</f>
        <v>6245848</v>
      </c>
      <c r="I2" s="4">
        <f>H2/B2</f>
        <v>1.6571852544026204E-2</v>
      </c>
    </row>
    <row r="3" spans="1:9" x14ac:dyDescent="0.25">
      <c r="A3" s="1" t="str">
        <f>samples!A3</f>
        <v>K2</v>
      </c>
      <c r="B3" s="2">
        <v>230299396</v>
      </c>
      <c r="C3" s="2">
        <v>226987652</v>
      </c>
      <c r="D3" s="2">
        <v>226987326</v>
      </c>
      <c r="E3" s="2">
        <v>20</v>
      </c>
      <c r="F3" s="3">
        <v>150.80000000000001</v>
      </c>
      <c r="G3" s="2">
        <v>151</v>
      </c>
      <c r="H3" s="2">
        <f t="shared" ref="H3:H5" si="0">B3-D3</f>
        <v>3312070</v>
      </c>
      <c r="I3" s="4">
        <f t="shared" ref="I3:I7" si="1">H3/B3</f>
        <v>1.4381583527904694E-2</v>
      </c>
    </row>
    <row r="4" spans="1:9" x14ac:dyDescent="0.25">
      <c r="A4" s="1" t="str">
        <f>samples!A4</f>
        <v>K3</v>
      </c>
      <c r="B4" s="2">
        <v>249307148</v>
      </c>
      <c r="C4" s="2">
        <v>245130802</v>
      </c>
      <c r="D4" s="2">
        <v>245130488</v>
      </c>
      <c r="E4" s="2">
        <v>20</v>
      </c>
      <c r="F4" s="3">
        <v>150.80000000000001</v>
      </c>
      <c r="G4" s="2">
        <v>151</v>
      </c>
      <c r="H4" s="2">
        <f t="shared" si="0"/>
        <v>4176660</v>
      </c>
      <c r="I4" s="4">
        <f t="shared" si="1"/>
        <v>1.6753069591089301E-2</v>
      </c>
    </row>
    <row r="5" spans="1:9" x14ac:dyDescent="0.25">
      <c r="A5" s="1" t="str">
        <f>samples!A5</f>
        <v>K4</v>
      </c>
      <c r="B5" s="2">
        <v>209875082</v>
      </c>
      <c r="C5" s="2">
        <v>207225384</v>
      </c>
      <c r="D5" s="2">
        <v>207209984</v>
      </c>
      <c r="E5" s="2">
        <v>20</v>
      </c>
      <c r="F5" s="3">
        <v>150.69999999999999</v>
      </c>
      <c r="G5" s="2">
        <v>151</v>
      </c>
      <c r="H5" s="2">
        <f t="shared" si="0"/>
        <v>2665098</v>
      </c>
      <c r="I5" s="4">
        <f t="shared" si="1"/>
        <v>1.2698496527567766E-2</v>
      </c>
    </row>
    <row r="6" spans="1:9" x14ac:dyDescent="0.25">
      <c r="A6" s="1" t="str">
        <f>samples!A6</f>
        <v>K5</v>
      </c>
      <c r="B6" s="2">
        <v>217669664</v>
      </c>
      <c r="C6" s="2">
        <v>214526836</v>
      </c>
      <c r="D6" s="2">
        <v>214507140</v>
      </c>
      <c r="E6" s="2">
        <v>20</v>
      </c>
      <c r="F6" s="3">
        <v>150.80000000000001</v>
      </c>
      <c r="G6" s="2">
        <v>151</v>
      </c>
      <c r="H6" s="2">
        <f>B6-D6</f>
        <v>3162524</v>
      </c>
      <c r="I6" s="4">
        <f t="shared" si="1"/>
        <v>1.4529006669482432E-2</v>
      </c>
    </row>
    <row r="7" spans="1:9" x14ac:dyDescent="0.25">
      <c r="A7" s="5" t="s">
        <v>14</v>
      </c>
      <c r="B7" s="6">
        <f>SUM(B2:B6)</f>
        <v>1284046268</v>
      </c>
      <c r="C7" s="6">
        <f>SUM(C2:C6)</f>
        <v>1264520306</v>
      </c>
      <c r="D7" s="6">
        <f>SUM(D2:D6)</f>
        <v>1264484068</v>
      </c>
      <c r="E7" s="5"/>
      <c r="F7" s="5"/>
      <c r="G7" s="5"/>
      <c r="H7" s="6">
        <f>SUM(H2:H6)</f>
        <v>19562200</v>
      </c>
      <c r="I7" s="7">
        <f t="shared" si="1"/>
        <v>1.5234809280252509E-2</v>
      </c>
    </row>
    <row r="8" spans="1:9" x14ac:dyDescent="0.25">
      <c r="A8" s="5" t="s">
        <v>15</v>
      </c>
      <c r="B8" s="6">
        <f t="shared" ref="B8:I8" si="2">AVERAGE(B2:B6)</f>
        <v>256809253.59999999</v>
      </c>
      <c r="C8" s="6">
        <f t="shared" si="2"/>
        <v>252904061.19999999</v>
      </c>
      <c r="D8" s="6">
        <f t="shared" si="2"/>
        <v>252896813.59999999</v>
      </c>
      <c r="E8" s="6">
        <f t="shared" si="2"/>
        <v>20</v>
      </c>
      <c r="F8" s="18">
        <f t="shared" si="2"/>
        <v>150.80000000000001</v>
      </c>
      <c r="G8" s="6">
        <f t="shared" si="2"/>
        <v>151</v>
      </c>
      <c r="H8" s="6">
        <f t="shared" si="2"/>
        <v>3912440</v>
      </c>
      <c r="I8" s="7">
        <f t="shared" si="2"/>
        <v>1.498680177201408E-2</v>
      </c>
    </row>
    <row r="9" spans="1:9" x14ac:dyDescent="0.25">
      <c r="A9" s="5" t="s">
        <v>84</v>
      </c>
      <c r="B9" s="6">
        <f t="shared" ref="B9:G9" si="3">STDEV(B2:B6)</f>
        <v>68764742.566436768</v>
      </c>
      <c r="C9" s="6">
        <f t="shared" ref="C9" si="4">STDEV(C2:C6)</f>
        <v>67371092.154245391</v>
      </c>
      <c r="D9" s="6">
        <f t="shared" si="3"/>
        <v>67376328.960176036</v>
      </c>
      <c r="E9" s="6">
        <f t="shared" si="3"/>
        <v>0</v>
      </c>
      <c r="F9" s="18">
        <f t="shared" si="3"/>
        <v>7.0710678118660789E-2</v>
      </c>
      <c r="G9" s="6">
        <f t="shared" si="3"/>
        <v>0</v>
      </c>
      <c r="H9" s="6">
        <f>STDEV(H2:H6)</f>
        <v>1413619.9375878936</v>
      </c>
      <c r="I9" s="7">
        <f>STDEV(I2:I6)</f>
        <v>1.69147083400973E-3</v>
      </c>
    </row>
    <row r="10" spans="1:9" x14ac:dyDescent="0.25">
      <c r="A10" s="5" t="s">
        <v>85</v>
      </c>
      <c r="B10" s="6">
        <f>MIN(B2:B6)</f>
        <v>209875082</v>
      </c>
      <c r="C10" s="6">
        <f t="shared" ref="C10:I10" si="5">MIN(C2:C6)</f>
        <v>207225384</v>
      </c>
      <c r="D10" s="6">
        <f t="shared" si="5"/>
        <v>207209984</v>
      </c>
      <c r="E10" s="6">
        <f t="shared" si="5"/>
        <v>20</v>
      </c>
      <c r="F10" s="18">
        <f t="shared" si="5"/>
        <v>150.69999999999999</v>
      </c>
      <c r="G10" s="6">
        <f t="shared" si="5"/>
        <v>151</v>
      </c>
      <c r="H10" s="6">
        <f t="shared" si="5"/>
        <v>2665098</v>
      </c>
      <c r="I10" s="7">
        <f t="shared" si="5"/>
        <v>1.2698496527567766E-2</v>
      </c>
    </row>
    <row r="11" spans="1:9" x14ac:dyDescent="0.25">
      <c r="A11" s="5" t="s">
        <v>86</v>
      </c>
      <c r="B11" s="6">
        <f>MAX(B2:B6)</f>
        <v>376894978</v>
      </c>
      <c r="C11" s="6">
        <f t="shared" ref="C11:I11" si="6">MAX(C2:C6)</f>
        <v>370649632</v>
      </c>
      <c r="D11" s="6">
        <f t="shared" si="6"/>
        <v>370649130</v>
      </c>
      <c r="E11" s="6">
        <f t="shared" si="6"/>
        <v>20</v>
      </c>
      <c r="F11" s="18">
        <f t="shared" si="6"/>
        <v>150.9</v>
      </c>
      <c r="G11" s="6">
        <f t="shared" si="6"/>
        <v>151</v>
      </c>
      <c r="H11" s="6">
        <f t="shared" si="6"/>
        <v>6245848</v>
      </c>
      <c r="I11" s="7">
        <f t="shared" si="6"/>
        <v>1.6753069591089301E-2</v>
      </c>
    </row>
    <row r="12" spans="1:9" x14ac:dyDescent="0.25">
      <c r="D12" s="15"/>
      <c r="E12" s="15"/>
      <c r="F12" s="15"/>
      <c r="G12" s="15"/>
      <c r="H12" s="15"/>
      <c r="I12" s="16"/>
    </row>
    <row r="14" spans="1:9" x14ac:dyDescent="0.25">
      <c r="A14" s="10" t="s">
        <v>6</v>
      </c>
      <c r="B14" s="11" t="s">
        <v>16</v>
      </c>
    </row>
    <row r="15" spans="1:9" x14ac:dyDescent="0.25">
      <c r="A15" s="10" t="s">
        <v>8</v>
      </c>
      <c r="B15" s="11" t="s">
        <v>17</v>
      </c>
    </row>
    <row r="16" spans="1:9" x14ac:dyDescent="0.25">
      <c r="A16" s="10" t="s">
        <v>7</v>
      </c>
      <c r="B16" s="11" t="s">
        <v>18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019CD-C240-410C-84AE-CBF21CAAE18F}">
  <dimension ref="A1:L18"/>
  <sheetViews>
    <sheetView tabSelected="1" workbookViewId="0">
      <selection activeCell="H29" sqref="H29"/>
    </sheetView>
  </sheetViews>
  <sheetFormatPr defaultRowHeight="15" x14ac:dyDescent="0.25"/>
  <cols>
    <col min="1" max="1" width="20.140625" style="8" customWidth="1"/>
    <col min="2" max="10" width="15.140625" style="8" customWidth="1"/>
    <col min="11" max="11" width="37" style="8" bestFit="1" customWidth="1"/>
    <col min="12" max="12" width="13.140625" style="8" bestFit="1" customWidth="1"/>
    <col min="13" max="16384" width="9.140625" style="8"/>
  </cols>
  <sheetData>
    <row r="1" spans="1:12" x14ac:dyDescent="0.25">
      <c r="A1" s="21" t="s">
        <v>28</v>
      </c>
      <c r="B1" s="21"/>
      <c r="C1" s="21"/>
      <c r="D1" s="21"/>
      <c r="E1" s="21"/>
      <c r="F1" s="21"/>
      <c r="G1" s="21"/>
      <c r="H1" s="21"/>
      <c r="I1" s="21"/>
      <c r="J1" s="21"/>
      <c r="K1" s="10"/>
      <c r="L1" s="14"/>
    </row>
    <row r="2" spans="1:12" x14ac:dyDescent="0.25">
      <c r="A2" s="10" t="s">
        <v>5</v>
      </c>
      <c r="B2" s="10" t="s">
        <v>19</v>
      </c>
      <c r="C2" s="10" t="s">
        <v>20</v>
      </c>
      <c r="D2" s="10" t="s">
        <v>21</v>
      </c>
      <c r="E2" s="10" t="s">
        <v>22</v>
      </c>
      <c r="F2" s="10" t="s">
        <v>23</v>
      </c>
      <c r="G2" s="10" t="s">
        <v>24</v>
      </c>
      <c r="H2" s="10" t="s">
        <v>25</v>
      </c>
      <c r="I2" s="10" t="s">
        <v>24</v>
      </c>
      <c r="J2" s="10" t="s">
        <v>26</v>
      </c>
      <c r="K2" s="10" t="s">
        <v>31</v>
      </c>
      <c r="L2" s="10" t="s">
        <v>30</v>
      </c>
    </row>
    <row r="3" spans="1:12" x14ac:dyDescent="0.25">
      <c r="A3" s="1" t="str">
        <f>samples!A2</f>
        <v>K1</v>
      </c>
      <c r="B3" s="2">
        <v>652387</v>
      </c>
      <c r="C3" s="2">
        <v>1000</v>
      </c>
      <c r="D3" s="2">
        <v>2208642</v>
      </c>
      <c r="E3" s="2">
        <v>1988659880</v>
      </c>
      <c r="F3" s="2">
        <v>4374</v>
      </c>
      <c r="G3" s="2">
        <v>1223</v>
      </c>
      <c r="H3" s="2">
        <v>74508</v>
      </c>
      <c r="I3" s="2">
        <v>471736</v>
      </c>
      <c r="J3" s="12">
        <v>50.29</v>
      </c>
      <c r="K3" s="2">
        <v>310923475</v>
      </c>
      <c r="L3" s="9">
        <f>K3/'sequence-reads'!D2</f>
        <v>0.83886201216767997</v>
      </c>
    </row>
    <row r="4" spans="1:12" x14ac:dyDescent="0.25">
      <c r="A4" s="1" t="str">
        <f>samples!A3</f>
        <v>K2</v>
      </c>
      <c r="B4" s="2">
        <v>440392</v>
      </c>
      <c r="C4" s="2">
        <v>1000</v>
      </c>
      <c r="D4" s="2">
        <v>734585</v>
      </c>
      <c r="E4" s="2">
        <v>1096599471</v>
      </c>
      <c r="F4" s="2">
        <v>2820</v>
      </c>
      <c r="G4" s="2">
        <v>1165</v>
      </c>
      <c r="H4" s="2">
        <v>76928</v>
      </c>
      <c r="I4" s="2">
        <v>338536</v>
      </c>
      <c r="J4" s="12">
        <v>49.1</v>
      </c>
      <c r="K4" s="2">
        <v>182114862</v>
      </c>
      <c r="L4" s="9">
        <f>K4/'sequence-reads'!D3</f>
        <v>0.80231290975250313</v>
      </c>
    </row>
    <row r="5" spans="1:12" x14ac:dyDescent="0.25">
      <c r="A5" s="1" t="str">
        <f>samples!A4</f>
        <v>K3</v>
      </c>
      <c r="B5" s="2">
        <v>444557</v>
      </c>
      <c r="C5" s="2">
        <v>1000</v>
      </c>
      <c r="D5" s="2">
        <v>893039</v>
      </c>
      <c r="E5" s="2">
        <v>1210175154</v>
      </c>
      <c r="F5" s="2">
        <v>3368</v>
      </c>
      <c r="G5" s="2">
        <v>1192</v>
      </c>
      <c r="H5" s="2">
        <v>66666</v>
      </c>
      <c r="I5" s="2">
        <v>333327</v>
      </c>
      <c r="J5" s="12">
        <v>47.15</v>
      </c>
      <c r="K5" s="2">
        <v>198474251</v>
      </c>
      <c r="L5" s="9">
        <f>K5/'sequence-reads'!D4</f>
        <v>0.80966775132434776</v>
      </c>
    </row>
    <row r="6" spans="1:12" x14ac:dyDescent="0.25">
      <c r="A6" s="1" t="str">
        <f>samples!A5</f>
        <v>K4</v>
      </c>
      <c r="B6" s="2">
        <v>454828</v>
      </c>
      <c r="C6" s="2">
        <v>1000</v>
      </c>
      <c r="D6" s="2">
        <v>702379</v>
      </c>
      <c r="E6" s="2">
        <v>1192986577</v>
      </c>
      <c r="F6" s="2">
        <v>3113</v>
      </c>
      <c r="G6" s="2">
        <v>1169</v>
      </c>
      <c r="H6" s="2">
        <v>67720</v>
      </c>
      <c r="I6" s="2">
        <v>344128</v>
      </c>
      <c r="J6" s="12">
        <v>49.77</v>
      </c>
      <c r="K6" s="2">
        <v>160768724</v>
      </c>
      <c r="L6" s="9">
        <f>K6/'sequence-reads'!D5</f>
        <v>0.77587344439928141</v>
      </c>
    </row>
    <row r="7" spans="1:12" x14ac:dyDescent="0.25">
      <c r="A7" s="1" t="str">
        <f>samples!A6</f>
        <v>K5</v>
      </c>
      <c r="B7" s="2">
        <v>345130</v>
      </c>
      <c r="C7" s="2">
        <v>1000</v>
      </c>
      <c r="D7" s="2">
        <v>834630</v>
      </c>
      <c r="E7" s="2">
        <v>955866272</v>
      </c>
      <c r="F7" s="2">
        <v>3497</v>
      </c>
      <c r="G7" s="2">
        <v>1190</v>
      </c>
      <c r="H7" s="2">
        <v>48409</v>
      </c>
      <c r="I7" s="2">
        <v>257204</v>
      </c>
      <c r="J7" s="12">
        <v>50.51</v>
      </c>
      <c r="K7" s="2">
        <v>177580783</v>
      </c>
      <c r="L7" s="9">
        <f>K7/'sequence-reads'!D6</f>
        <v>0.82785488166034937</v>
      </c>
    </row>
    <row r="8" spans="1:12" x14ac:dyDescent="0.25">
      <c r="A8" s="5" t="s">
        <v>14</v>
      </c>
      <c r="B8" s="6"/>
      <c r="C8" s="6"/>
      <c r="D8" s="6"/>
      <c r="E8" s="6"/>
      <c r="F8" s="6"/>
      <c r="G8" s="6"/>
      <c r="H8" s="6"/>
      <c r="I8" s="6"/>
      <c r="J8" s="6"/>
      <c r="K8" s="22" t="s">
        <v>87</v>
      </c>
      <c r="L8" s="22"/>
    </row>
    <row r="9" spans="1:12" x14ac:dyDescent="0.25">
      <c r="A9" s="5" t="s">
        <v>15</v>
      </c>
      <c r="B9" s="6">
        <f>AVERAGE(B3:B7)</f>
        <v>467458.8</v>
      </c>
      <c r="C9" s="6">
        <f t="shared" ref="C9:J9" si="0">AVERAGE(C3:C7)</f>
        <v>1000</v>
      </c>
      <c r="D9" s="6">
        <f t="shared" si="0"/>
        <v>1074655</v>
      </c>
      <c r="E9" s="6">
        <f t="shared" si="0"/>
        <v>1288857470.8</v>
      </c>
      <c r="F9" s="6">
        <f t="shared" si="0"/>
        <v>3434.4</v>
      </c>
      <c r="G9" s="6">
        <f t="shared" si="0"/>
        <v>1187.8</v>
      </c>
      <c r="H9" s="6">
        <f t="shared" si="0"/>
        <v>66846.2</v>
      </c>
      <c r="I9" s="6">
        <f t="shared" si="0"/>
        <v>348986.2</v>
      </c>
      <c r="J9" s="17">
        <f t="shared" si="0"/>
        <v>49.363999999999997</v>
      </c>
      <c r="K9" s="22"/>
      <c r="L9" s="22"/>
    </row>
    <row r="10" spans="1:12" x14ac:dyDescent="0.25">
      <c r="A10" s="5" t="s">
        <v>84</v>
      </c>
      <c r="B10" s="6">
        <f t="shared" ref="B10:J10" si="1">STDEV(B3:B7)</f>
        <v>112449.33934754803</v>
      </c>
      <c r="C10" s="6">
        <f t="shared" si="1"/>
        <v>0</v>
      </c>
      <c r="D10" s="6">
        <f t="shared" si="1"/>
        <v>638506.05191454524</v>
      </c>
      <c r="E10" s="6">
        <f t="shared" si="1"/>
        <v>404027172.39763343</v>
      </c>
      <c r="F10" s="6">
        <f t="shared" si="1"/>
        <v>585.65373728851137</v>
      </c>
      <c r="G10" s="6">
        <f t="shared" si="1"/>
        <v>23.101947969814145</v>
      </c>
      <c r="H10" s="6">
        <f t="shared" si="1"/>
        <v>11192.321171231632</v>
      </c>
      <c r="I10" s="6">
        <f t="shared" si="1"/>
        <v>77248.794438489538</v>
      </c>
      <c r="J10" s="17">
        <f t="shared" si="1"/>
        <v>1.3515842556052511</v>
      </c>
      <c r="K10" s="22"/>
      <c r="L10" s="22"/>
    </row>
    <row r="11" spans="1:12" x14ac:dyDescent="0.25">
      <c r="A11" s="5" t="s">
        <v>85</v>
      </c>
      <c r="B11" s="6">
        <f>MIN(B3:B7)</f>
        <v>345130</v>
      </c>
      <c r="C11" s="6">
        <f t="shared" ref="C11:J11" si="2">MIN(C3:C7)</f>
        <v>1000</v>
      </c>
      <c r="D11" s="6">
        <f t="shared" si="2"/>
        <v>702379</v>
      </c>
      <c r="E11" s="6">
        <f t="shared" si="2"/>
        <v>955866272</v>
      </c>
      <c r="F11" s="6">
        <f t="shared" si="2"/>
        <v>2820</v>
      </c>
      <c r="G11" s="6">
        <f t="shared" si="2"/>
        <v>1165</v>
      </c>
      <c r="H11" s="6">
        <f t="shared" si="2"/>
        <v>48409</v>
      </c>
      <c r="I11" s="6">
        <f t="shared" si="2"/>
        <v>257204</v>
      </c>
      <c r="J11" s="6">
        <f t="shared" si="2"/>
        <v>47.15</v>
      </c>
      <c r="K11" s="22"/>
      <c r="L11" s="22"/>
    </row>
    <row r="12" spans="1:12" x14ac:dyDescent="0.25">
      <c r="A12" s="5" t="s">
        <v>86</v>
      </c>
      <c r="B12" s="6">
        <f>MAX(B3:B7)</f>
        <v>652387</v>
      </c>
      <c r="C12" s="6">
        <f t="shared" ref="C12:J12" si="3">MAX(C3:C7)</f>
        <v>1000</v>
      </c>
      <c r="D12" s="6">
        <f t="shared" si="3"/>
        <v>2208642</v>
      </c>
      <c r="E12" s="6">
        <f t="shared" si="3"/>
        <v>1988659880</v>
      </c>
      <c r="F12" s="6">
        <f t="shared" si="3"/>
        <v>4374</v>
      </c>
      <c r="G12" s="6">
        <f t="shared" si="3"/>
        <v>1223</v>
      </c>
      <c r="H12" s="6">
        <f t="shared" si="3"/>
        <v>76928</v>
      </c>
      <c r="I12" s="6">
        <f t="shared" si="3"/>
        <v>471736</v>
      </c>
      <c r="J12" s="6">
        <f t="shared" si="3"/>
        <v>50.51</v>
      </c>
      <c r="K12" s="22"/>
      <c r="L12" s="22"/>
    </row>
    <row r="14" spans="1:12" x14ac:dyDescent="0.25">
      <c r="A14" s="13" t="s">
        <v>29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12" x14ac:dyDescent="0.25">
      <c r="A15" s="10" t="s">
        <v>5</v>
      </c>
      <c r="B15" s="10" t="s">
        <v>19</v>
      </c>
      <c r="C15" s="10" t="s">
        <v>20</v>
      </c>
      <c r="D15" s="10" t="s">
        <v>21</v>
      </c>
      <c r="E15" s="10" t="s">
        <v>22</v>
      </c>
      <c r="F15" s="10" t="s">
        <v>23</v>
      </c>
      <c r="G15" s="10" t="s">
        <v>24</v>
      </c>
      <c r="H15" s="10" t="s">
        <v>25</v>
      </c>
      <c r="I15" s="10" t="s">
        <v>24</v>
      </c>
      <c r="J15" s="10" t="s">
        <v>26</v>
      </c>
      <c r="K15" s="10" t="s">
        <v>31</v>
      </c>
      <c r="L15" s="10" t="s">
        <v>30</v>
      </c>
    </row>
    <row r="16" spans="1:12" x14ac:dyDescent="0.25">
      <c r="A16" s="1" t="s">
        <v>27</v>
      </c>
      <c r="B16" s="2">
        <v>2218088</v>
      </c>
      <c r="C16" s="2">
        <v>1000</v>
      </c>
      <c r="D16" s="2">
        <v>2208642</v>
      </c>
      <c r="E16" s="2">
        <v>6172939678</v>
      </c>
      <c r="F16" s="2">
        <v>3529</v>
      </c>
      <c r="G16" s="2">
        <v>1194</v>
      </c>
      <c r="H16" s="2">
        <v>308241</v>
      </c>
      <c r="I16" s="2">
        <v>1651130</v>
      </c>
      <c r="J16" s="12">
        <v>49.43</v>
      </c>
      <c r="K16" s="19">
        <f>SUM(K3:K7)</f>
        <v>1029862095</v>
      </c>
      <c r="L16" s="20">
        <f>K16/'sequence-reads'!D7</f>
        <v>0.8144524087431998</v>
      </c>
    </row>
    <row r="18" spans="1:12" x14ac:dyDescent="0.25">
      <c r="A18" s="10" t="s">
        <v>51</v>
      </c>
      <c r="B18" s="23" t="s">
        <v>83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</row>
  </sheetData>
  <mergeCells count="3">
    <mergeCell ref="A1:J1"/>
    <mergeCell ref="K8:L12"/>
    <mergeCell ref="B18:L1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36314D-38D5-4CC8-A5BE-A35396679B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samples</vt:lpstr>
      <vt:lpstr>metagenomic-analysis</vt:lpstr>
      <vt:lpstr>sequence-reads</vt:lpstr>
      <vt:lpstr>individual-assembly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Solize Oosthuizen</dc:creator>
  <cp:lastModifiedBy>Moodley, Tevin</cp:lastModifiedBy>
  <dcterms:created xsi:type="dcterms:W3CDTF">2015-06-05T18:17:20Z</dcterms:created>
  <dcterms:modified xsi:type="dcterms:W3CDTF">2026-06-01T15:55:54Z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31be4-bb77-46d3-b866-62153466896a_Enabled">
    <vt:lpwstr>true</vt:lpwstr>
  </property>
  <property fmtid="{D5CDD505-2E9C-101B-9397-08002B2CF9AE}" pid="3" name="MSIP_Label_b0d31be4-bb77-46d3-b866-62153466896a_SetDate">
    <vt:lpwstr>2026-02-16T07:27:04Z</vt:lpwstr>
  </property>
  <property fmtid="{D5CDD505-2E9C-101B-9397-08002B2CF9AE}" pid="4" name="MSIP_Label_b0d31be4-bb77-46d3-b866-62153466896a_Method">
    <vt:lpwstr>Standard</vt:lpwstr>
  </property>
  <property fmtid="{D5CDD505-2E9C-101B-9397-08002B2CF9AE}" pid="5" name="MSIP_Label_b0d31be4-bb77-46d3-b866-62153466896a_Name">
    <vt:lpwstr>Public</vt:lpwstr>
  </property>
  <property fmtid="{D5CDD505-2E9C-101B-9397-08002B2CF9AE}" pid="6" name="MSIP_Label_b0d31be4-bb77-46d3-b866-62153466896a_SiteId">
    <vt:lpwstr>fa785acd-36ef-41bc-8a94-89841327e045</vt:lpwstr>
  </property>
  <property fmtid="{D5CDD505-2E9C-101B-9397-08002B2CF9AE}" pid="7" name="MSIP_Label_b0d31be4-bb77-46d3-b866-62153466896a_ActionId">
    <vt:lpwstr>a24cf40e-382b-464e-aec2-6078f3ebfe94</vt:lpwstr>
  </property>
  <property fmtid="{D5CDD505-2E9C-101B-9397-08002B2CF9AE}" pid="8" name="MSIP_Label_b0d31be4-bb77-46d3-b866-62153466896a_ContentBits">
    <vt:lpwstr>0</vt:lpwstr>
  </property>
  <property fmtid="{D5CDD505-2E9C-101B-9397-08002B2CF9AE}" pid="9" name="MSIP_Label_b0d31be4-bb77-46d3-b866-62153466896a_Tag">
    <vt:lpwstr>10, 3, 0, 1</vt:lpwstr>
  </property>
</Properties>
</file>